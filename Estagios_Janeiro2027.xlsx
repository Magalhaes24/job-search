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Decisão" sheetId="3" state="visible" r:id="rId5"/>
    <sheet name="Dados completos" sheetId="4" state="visible" r:id="rId6"/>
    <sheet name="Perfil e pressupostos" sheetId="5" state="visible" r:id="rId7"/>
    <sheet name="Análise de match" sheetId="6" state="visible" r:id="rId8"/>
  </sheets>
  <definedNames>
    <definedName function="false" hidden="true" localSheetId="3" name="_xlnm._FilterDatabase" vbProcedure="false">'Dados completos'!$A$3:$AW$227</definedName>
    <definedName function="false" hidden="true" localSheetId="2" name="_xlnm._FilterDatabase" vbProcedure="false">Decisão!$A$4:$V$228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Banca de investimento, boutique de M&amp;A, VC e private equity, banca comercial, Big 4 e consultoria, big corporate, startup ou scale-up, PME, seguradora, serviços financeiros ou setor público.</t>
        </r>
      </text>
    </comment>
    <comment ref="V3" authorId="0">
      <text>
        <r>
          <rPr>
            <sz val="10"/>
            <rFont val="Arial"/>
            <family val="2"/>
          </rPr>
          <t xml:space="preserve">Julgamento meu sobre a concorrência: Muito alta, Alta, Média-alta ou Média.</t>
        </r>
      </text>
    </comment>
    <comment ref="W3" authorId="0">
      <text>
        <r>
          <rPr>
            <sz val="10"/>
            <rFont val="Arial"/>
            <family val="2"/>
          </rPr>
          <t xml:space="preserve">Quanto a vaga serve o teu interesse em private equity e finanças (5 = PE puro).</t>
        </r>
      </text>
    </comment>
    <comment ref="X3" authorId="0">
      <text>
        <r>
          <rPr>
            <sz val="10"/>
            <rFont val="Arial"/>
            <family val="2"/>
          </rPr>
          <t xml:space="preserve">Quão fácil é ser aceite, tendo em conta a dificuldade da vaga e o encaixe com o teu CV (5 = mais fácil).</t>
        </r>
      </text>
    </comment>
    <comment ref="Y3" authorId="0">
      <text>
        <r>
          <rPr>
            <sz val="10"/>
            <rFont val="Arial"/>
            <family val="2"/>
          </rPr>
          <t xml:space="preserve">0,6 × Fit + 0,4 × Facilidade. Vai de 1 a 5.</t>
        </r>
      </text>
    </comment>
    <comment ref="Z3" authorId="0">
      <text>
        <r>
          <rPr>
            <sz val="10"/>
            <rFont val="Arial"/>
            <family val="2"/>
          </rPr>
          <t xml:space="preserve">A língua que mais pesa na vaga. A proficiência de cada língua está em 'Perfil e pressupostos'.</t>
        </r>
      </text>
    </comment>
    <comment ref="AF3" authorId="0">
      <text>
        <r>
          <rPr>
            <sz val="10"/>
            <rFont val="Arial"/>
            <family val="2"/>
          </rPr>
          <t xml:space="preserve">Encaixe do teu CV com a vaga: média ponderada de Idioma, Experiência, Elegibilidade e Perfil. Os pesos estão em 'Perfil e pressupostos'.</t>
        </r>
      </text>
    </comment>
    <comment ref="AH3" authorId="0">
      <text>
        <r>
          <rPr>
            <sz val="10"/>
            <rFont val="Arial"/>
            <family val="2"/>
          </rPr>
          <t xml:space="preserve">Estimativa comparativa: taxa base da dificuldade × fator do match. Não é uma estatística oficial.</t>
        </r>
      </text>
    </comment>
    <comment ref="AI3" authorId="0">
      <text>
        <r>
          <rPr>
            <sz val="10"/>
            <rFont val="Arial"/>
            <family val="2"/>
          </rPr>
          <t xml:space="preserve">Boa: 8% ou mais. Média: 3% a 8%. Baixa: menos de 3%.</t>
        </r>
      </text>
    </comment>
    <comment ref="AK3" authorId="0">
      <text>
        <r>
          <rPr>
            <sz val="10"/>
            <rFont val="Arial"/>
            <family val="2"/>
          </rPr>
          <t xml:space="preserve">Aberta, Por confirmar, Monitorizar (ainda não aberta) ou Prazo expirado.</t>
        </r>
      </text>
    </comment>
    <comment ref="AL3" authorId="0">
      <text>
        <r>
          <rPr>
            <sz val="10"/>
            <rFont val="Arial"/>
            <family val="2"/>
          </rPr>
          <t xml:space="preserve">Prioridade: score de 3,5 ou mais. Candidatar (reach): 3,0 a 3,4. Reserva: abaixo de 3. Monitorizar: vaga ainda não aberta. Prazo passado: já fechou.</t>
        </r>
      </text>
    </comment>
    <comment ref="AO3" authorId="0">
      <text>
        <r>
          <rPr>
            <sz val="10"/>
            <rFont val="Arial"/>
            <family val="2"/>
          </rPr>
          <t xml:space="preserve">Direto: site ou sistema de recrutamento da empresa. Anúncio em plataforma: JobTeaser, eFinancialCareers, etc. Página de carreiras: tens de procurar a vaga.</t>
        </r>
      </text>
    </comment>
    <comment ref="AP3" authorId="0">
      <text>
        <r>
          <rPr>
            <sz val="10"/>
            <rFont val="Arial"/>
            <family val="2"/>
          </rPr>
          <t xml:space="preserve">Verificada na página: li a oferta. Parcial: só título ou agregador. Por confirmar: indício fraco.</t>
        </r>
      </text>
    </comment>
  </commentList>
</comments>
</file>

<file path=xl/sharedStrings.xml><?xml version="1.0" encoding="utf-8"?>
<sst xmlns="http://schemas.openxmlformats.org/spreadsheetml/2006/main" count="5724" uniqueCount="1389">
  <si>
    <t xml:space="preserve">Como usar este ficheiro</t>
  </si>
  <si>
    <t xml:space="preserve">O ficheiro reúne 224 estágios e programas de entrada com início em janeiro de 2027 (ou perto), sobretudo em private equity, M&amp;A, banca de investimento e gestão de ativos, em Portugal e na Europa. Para cada vaga estima o encaixe com o teu CV e a probabilidade de seres aceite. Cada vaga tem link de candidatura.</t>
  </si>
  <si>
    <t xml:space="preserve">As folhas</t>
  </si>
  <si>
    <t xml:space="preserve">Resumo</t>
  </si>
  <si>
    <t xml:space="preserve">Visão geral numa página: números-chave, vagas por país, as 10 melhores candidaturas e notas importantes. Começa aqui.</t>
  </si>
  <si>
    <t xml:space="preserve">Decisão</t>
  </si>
  <si>
    <t xml:space="preserve">Uma linha por vaga, ordenada por probabilidade × interesse. É a folha para decidir: filtra por veredicto, país ou chance e usa 'Abrir' para ir ao link.</t>
  </si>
  <si>
    <t xml:space="preserve">Dados completos</t>
  </si>
  <si>
    <t xml:space="preserve">Toda a informação, vaga a vaga: descrição, requisitos, prazo, salário bruto estimado, fatores do match e notas. Passa o rato por cima dos cabeçalhos para veres o significado das colunas principais.</t>
  </si>
  <si>
    <t xml:space="preserve">Perfil e pressupostos</t>
  </si>
  <si>
    <t xml:space="preserve">O teu perfil, as línguas, os pesos do match e as taxas base de aceitação. As células a azul são editáveis e todo o ficheiro recalcula.</t>
  </si>
  <si>
    <t xml:space="preserve">Análise de match</t>
  </si>
  <si>
    <t xml:space="preserve">Estatística sobre as melhores vagas: Top 10, médias por país e dificuldade, quantas candidaturas fazer, sensibilidade aos pressupostos e correlações. Tem dois gráficos.</t>
  </si>
  <si>
    <t xml:space="preserve">Os gráficos</t>
  </si>
  <si>
    <t xml:space="preserve">Vagas por país (Resumo)</t>
  </si>
  <si>
    <t xml:space="preserve">Barras horizontais com o número de vagas listadas em cada país. Mostra onde está a oferta.</t>
  </si>
  <si>
    <t xml:space="preserve">Top 10: probabilidade estimada (Análise de match)</t>
  </si>
  <si>
    <t xml:space="preserve">Uma barra por vaga do Top 10, com a probabilidade estimada de aceitação. Serve para comparar as melhores vagas entre si.</t>
  </si>
  <si>
    <t xml:space="preserve">Prob. de ≥1 oferta vs. nº de candidaturas (Análise de match)</t>
  </si>
  <si>
    <t xml:space="preserve">Linha que mostra como sobe a probabilidade de receberes pelo menos uma oferta à medida que te candidatas a mais vagas (sempre às melhores do ranking). A curva tende a achatar: as candidaturas seguintes valem cada vez menos.</t>
  </si>
  <si>
    <t xml:space="preserve">Glossário</t>
  </si>
  <si>
    <t xml:space="preserve">Tipo de empresa</t>
  </si>
  <si>
    <t xml:space="preserve">Banca de investimento, boutique de M&amp;A, VC e private equity, banca comercial, Big 4 e consultoria, big corporate, startup ou scale-up, PME, seguradora, serviços financeiros ou setor público.</t>
  </si>
  <si>
    <t xml:space="preserve">Veredicto</t>
  </si>
  <si>
    <t xml:space="preserve">Prioridade: score de 3,5 ou mais. Candidatar (reach): 3,0 a 3,4. Reserva: abaixo de 3. Monitorizar: vaga ainda não aberta. Prazo passado: já fechou.</t>
  </si>
  <si>
    <t xml:space="preserve">Score (60% fit + 40% facilidade)</t>
  </si>
  <si>
    <t xml:space="preserve">0,6 × Fit + 0,4 × Facilidade. Vai de 1 a 5.</t>
  </si>
  <si>
    <t xml:space="preserve">Fit com PE/Finance (1-5)</t>
  </si>
  <si>
    <t xml:space="preserve">Quanto a vaga serve o teu interesse em private equity e finanças (5 = PE puro).</t>
  </si>
  <si>
    <t xml:space="preserve">Facilidade (1-5)</t>
  </si>
  <si>
    <t xml:space="preserve">Quão fácil é ser aceite, tendo em conta a dificuldade da vaga e o encaixe com o teu CV (5 = mais fácil).</t>
  </si>
  <si>
    <t xml:space="preserve">Match com o CV (0-100)</t>
  </si>
  <si>
    <t xml:space="preserve">Encaixe do teu CV com a vaga: média ponderada de Idioma, Experiência, Elegibilidade e Perfil. Os pesos estão em 'Perfil e pressupostos'.</t>
  </si>
  <si>
    <t xml:space="preserve">Prob. estimada de aceitação</t>
  </si>
  <si>
    <t xml:space="preserve">Estimativa comparativa: taxa base da dificuldade × fator do match. Não é uma estatística oficial.</t>
  </si>
  <si>
    <t xml:space="preserve">Chance</t>
  </si>
  <si>
    <t xml:space="preserve">Boa: 8% ou mais. Média: 3% a 8%. Baixa: menos de 3%.</t>
  </si>
  <si>
    <t xml:space="preserve">Dificuldade de ser aceite</t>
  </si>
  <si>
    <t xml:space="preserve">Julgamento meu sobre a concorrência: Muito alta, Alta, Média-alta ou Média.</t>
  </si>
  <si>
    <t xml:space="preserve">Qualidade da informação</t>
  </si>
  <si>
    <t xml:space="preserve">Verificada na página: li a oferta. Parcial: só título ou agregador. Por confirmar: indício fraco.</t>
  </si>
  <si>
    <t xml:space="preserve">Tipo de link</t>
  </si>
  <si>
    <t xml:space="preserve">Direto: site ou sistema de recrutamento da empresa. Anúncio em plataforma: JobTeaser, eFinancialCareers, etc. Página de carreiras: tens de procurar a vaga.</t>
  </si>
  <si>
    <t xml:space="preserve">Língua-chave</t>
  </si>
  <si>
    <t xml:space="preserve">A língua que mais pesa na vaga. A proficiência de cada língua está em 'Perfil e pressupostos'.</t>
  </si>
  <si>
    <t xml:space="preserve">Estado</t>
  </si>
  <si>
    <t xml:space="preserve">Aberta, Por confirmar, Monitorizar (ainda não aberta) ou Prazo expirado.</t>
  </si>
  <si>
    <t xml:space="preserve">Probabilidade de ≥1 oferta</t>
  </si>
  <si>
    <t xml:space="preserve">Probabilidade de receberes pelo menos uma oferta com N candidaturas, tendo em conta que as candidaturas não são independentes (o mesmo CV é lido em todas).</t>
  </si>
  <si>
    <t xml:space="preserve">Como usar, passo a passo</t>
  </si>
  <si>
    <t xml:space="preserve">1. Ver o Resumo</t>
  </si>
  <si>
    <t xml:space="preserve">Percebe o panorama geral e lê as notas no fim da folha.</t>
  </si>
  <si>
    <t xml:space="preserve">2. Filtrar na Decisão</t>
  </si>
  <si>
    <t xml:space="preserve">Usa o filtro do cabeçalho para ver só 'Prioridade' ou 'Candidatar (reach)' e, se quiseres, só um país ou só chance 'Boa'.</t>
  </si>
  <si>
    <t xml:space="preserve">3. Abrir o link</t>
  </si>
  <si>
    <t xml:space="preserve">Confirma o prazo, a elegibilidade e a língua na oferta. Nas vagas 'Parcial' a descrição aqui é genérica.</t>
  </si>
  <si>
    <t xml:space="preserve">4. Ajustar o perfil</t>
  </si>
  <si>
    <t xml:space="preserve">Se melhorares uma língua ou ganhares experiência, muda os valores em 'Perfil e pressupostos' e os resultados recalculam.</t>
  </si>
  <si>
    <t xml:space="preserve">5. Candidatar-te</t>
  </si>
  <si>
    <t xml:space="preserve">Começa pelas candidaturas 'rolling', que fecham quando a vaga é preenchida, e pelas com prazo mais próximo.</t>
  </si>
  <si>
    <t xml:space="preserve">Limites a ter em conta</t>
  </si>
  <si>
    <t xml:space="preserve">Probabilidades</t>
  </si>
  <si>
    <t xml:space="preserve">São estimativas comparativas, assentes em taxas base que eu assumi. Servem para ordenar vagas e não para prever resultados.</t>
  </si>
  <si>
    <t xml:space="preserve">Informação das vagas</t>
  </si>
  <si>
    <t xml:space="preserve">Muitas vagas só foram vistas em agregadores ou em páginas que não consegui abrir. Confirma sempre na oferta.</t>
  </si>
  <si>
    <t xml:space="preserve">Salários (valores brutos)</t>
  </si>
  <si>
    <t xml:space="preserve">Todos os valores são brutos mensais, antes de impostos e descontos. São estimativas de mercado, exceto o EIB (1.500 €/mês; a fonte não diz se é bruto ou líquido) e o IEFP (1.181,69 € brutos, bolsa de nível 6). Em Portugal, o valor líquido fica abaixo do bruto por causa dos descontos para a Segurança Social e do IRS.</t>
  </si>
  <si>
    <t xml:space="preserve">Atualização</t>
  </si>
  <si>
    <t xml:space="preserve">Pesquisa feita a 17-10-2026. Os prazos mudam e as vagas rolling fecham sem aviso.</t>
  </si>
  <si>
    <t xml:space="preserve">Estágios de 6 meses · entrada em janeiro 2027</t>
  </si>
  <si>
    <t xml:space="preserve">Private equity, M&amp;A e banca de investimento, gestão de ativos e finanças · Portugal e Europa · pesquisa de 17-10-2026 · inclui o encaixe com o teu CV</t>
  </si>
  <si>
    <t xml:space="preserve">Esta folha é o ponto de partida: números gerais, vagas por país e as 10 melhores candidaturas. Depois passa à folha Decisão para escolher vaga a vaga.</t>
  </si>
  <si>
    <t xml:space="preserve">Números-chave</t>
  </si>
  <si>
    <t xml:space="preserve">Por país</t>
  </si>
  <si>
    <t xml:space="preserve">Gráfico de barras: número de vagas listadas por país (inclui também as de prazo passado). Mostra onde está concentrada a oferta: a França e o Reino Unido dominam.</t>
  </si>
  <si>
    <t xml:space="preserve">Vagas e oportunidades listadas</t>
  </si>
  <si>
    <t xml:space="preserve">País</t>
  </si>
  <si>
    <t xml:space="preserve">Nº</t>
  </si>
  <si>
    <t xml:space="preserve">Prob. média</t>
  </si>
  <si>
    <t xml:space="preserve">Chance Boa</t>
  </si>
  <si>
    <t xml:space="preserve">Com estado 'Aberta' (rolling ou com prazo)</t>
  </si>
  <si>
    <t xml:space="preserve">Reino Unido</t>
  </si>
  <si>
    <t xml:space="preserve">Por confirmar (visto em agregadores)</t>
  </si>
  <si>
    <t xml:space="preserve">Espanha</t>
  </si>
  <si>
    <t xml:space="preserve">Prazo já expirado</t>
  </si>
  <si>
    <t xml:space="preserve">França</t>
  </si>
  <si>
    <t xml:space="preserve">Veredicto 'Prioridade' (fit + facilidade)</t>
  </si>
  <si>
    <t xml:space="preserve">Alemanha</t>
  </si>
  <si>
    <t xml:space="preserve">Chance 'Boa' (match com o CV)</t>
  </si>
  <si>
    <t xml:space="preserve">Portugal</t>
  </si>
  <si>
    <t xml:space="preserve">Match médio com o CV (0-100)</t>
  </si>
  <si>
    <t xml:space="preserve">Luxemburgo</t>
  </si>
  <si>
    <t xml:space="preserve">Prob. de ≥1 oferta com as 10 melhores candidaturas</t>
  </si>
  <si>
    <t xml:space="preserve">Suécia</t>
  </si>
  <si>
    <t xml:space="preserve">Prob. de ≥1 oferta com as 20 melhores candidaturas</t>
  </si>
  <si>
    <t xml:space="preserve">Suíça</t>
  </si>
  <si>
    <t xml:space="preserve">Em Portugal</t>
  </si>
  <si>
    <t xml:space="preserve">Itália</t>
  </si>
  <si>
    <t xml:space="preserve">Polónia</t>
  </si>
  <si>
    <t xml:space="preserve">Bélgica</t>
  </si>
  <si>
    <t xml:space="preserve">Países Baixos</t>
  </si>
  <si>
    <t xml:space="preserve">Top 10 por probabilidade × interesse (ver 'Análise de match')</t>
  </si>
  <si>
    <t xml:space="preserve">Empresa, role</t>
  </si>
  <si>
    <t xml:space="preserve">Cidade</t>
  </si>
  <si>
    <t xml:space="preserve">Modalidade</t>
  </si>
  <si>
    <t xml:space="preserve">Dificuldade</t>
  </si>
  <si>
    <t xml:space="preserve">Prob. aceit.</t>
  </si>
  <si>
    <t xml:space="preserve">Match CV</t>
  </si>
  <si>
    <t xml:space="preserve">O que tens de saber antes de candidatar</t>
  </si>
  <si>
    <t xml:space="preserve">1. Encaixe com o CV: o teu CV mostra liderança, logística, angariação de fundos, Excel certificado, Python e inglês C1, mas nenhum estágio em finanças nem francês ou alemão. Por isso o match é mais baixo nas vagas de PE em Paris e Frankfurt e nas que pedem experiência prévia. O cálculo está em 'Perfil e pressupostos' e 'Análise de match'.</t>
  </si>
  <si>
    <t xml:space="preserve">2. Acabas o curso em janeiro e muitos programas off-cycle pedem que ainda estejas inscrita (a BlackRock exige o penúltimo ano; a Houlihan Lokey e a Ardian pedem mestrado ou convenção de estágio). Os que aceitam recém-licenciadas (Alantra Madrid, EIB, Blackstone, estágio IEFP, BNP) são os mais seguros.</t>
  </si>
  <si>
    <t xml:space="preserve">3. Portugal tem poucas vagas públicas de PE e de banca de investimento. A melhor é a BNP Paribas Lisboa (M&amp;A Advisory, híbrido). Para PE português, a via mais realista é a candidatura espontânea com o estágio IEFP (bolsa de 1.181,69 € brutos, em parte financiada pelo Estado; as empresas candidatam-se até 07-12-2026).</t>
  </si>
  <si>
    <t xml:space="preserve">4. Salários: todos os valores são brutos mensais. Só o EIB (1.500 €/mês, bruto ou líquido não especificado pela fonte) e o IEFP (1.181,69 € brutos) vêm de fonte oficial. Os restantes são estimativas de mercado (ver a coluna sobre a fonte do salário bruto em 'Dados completos').</t>
  </si>
  <si>
    <t xml:space="preserve">5. Prazos conhecidos: Houlihan Lokey Zurique 21-10-2026; Mastercard Lisboa 25-10-2026; Citi Zurique 06-11-2026; J.P. Morgan Estocolmo 07-11-2026; BlackRock Frankfurt e Munique 13-11-2026; MUFG Amesterdão 15-11-2026; Astorg Frankfurt 30-11-2026; IEFP (empresas) 07-12-2026. As candidaturas 'rolling' fecham quando a vaga é preenchida, por isso candidata-te cedo.</t>
  </si>
  <si>
    <t xml:space="preserve">6. Qualidade da informação: 'Verificada na página' quer dizer que li a oferta. 'Parcial' quer dizer que só vi o título ou um agregador, ou que não consegui abrir a página; nesses casos a descrição e os requisitos são os típicos da categoria e dizem 'ver oferta'. 'Por confirmar' é um indício fraco. A maioria das vagas novas é 'Parcial', por isso confirma o prazo, a elegibilidade e a língua no link antes de te candidatares.</t>
  </si>
  <si>
    <t xml:space="preserve">7. Links: cada vaga tem um link de candidatura (coluna 'Link' e botão 'Abrir'). A coluna 'Tipo de link' diz se é direto (site ou sistema de recrutamento da empresa), um anúncio numa plataforma (JobTeaser, eFinancialCareers, etc.) ou uma página de carreiras onde tens de procurar a vaga (UBS, Wells Fargo, Mizuho, Natixis, Evercore Londres).</t>
  </si>
  <si>
    <t xml:space="preserve">8. Dificuldade, fit, facilidade e os fatores do match são julgamento meu (a azul, editáveis). As probabilidades servem para comparar vagas e não são estatísticas oficiais de aceitação.</t>
  </si>
  <si>
    <t xml:space="preserve">9. Portugal: acrescentei vagas de bancos, Big 4, seguradoras, grandes empresas, scale-ups e candidaturas espontâneas a gestoras de VC. Muitos programas de trainees portugueses abrem de março a maio para entrada em setembro, por isso aparecem como 'Monitorizar' e não entram nos rankings até abrirem. Os que estão abertos agora (CGD, Jerónimo Martins, Coca-Cola, CP, Deloitte, BNP Paribas) são os mais urgentes.</t>
  </si>
  <si>
    <t xml:space="preserve">Deixei de fora: a DPE (o link é de 2026), a Mastercard de verão, funções jurídicas, de operações ou de wealth management, estágios só de verão, a Tikehau Bruxelas (fechada, pede neerlandês), a Cinven Londres (removida a 06-10-2026, pede neerlandês) e a Schroders Zurique (working student de 12 meses).</t>
  </si>
  <si>
    <t xml:space="preserve">O que significa cada parte desta folha</t>
  </si>
  <si>
    <t xml:space="preserve">Números-chave: Contagens gerais da lista: total de vagas, estado, veredicto e chance, e a probabilidade de receberes pelo menos uma oferta se te candidatares às 10 ou 20 melhores.</t>
  </si>
  <si>
    <t xml:space="preserve">Por país: Para cada país, o número de vagas, a probabilidade média de aceitação (só vagas ainda abertas) e quantas têm chance 'Boa'.</t>
  </si>
  <si>
    <t xml:space="preserve">Top 10: As dez vagas com melhor combinação de probabilidade e interesse. Prob. aceit. e Match CV vêm do modelo; a chance é Boa (8% ou mais), Média (3% a 8%) ou Baixa.</t>
  </si>
  <si>
    <t xml:space="preserve">Vista de decisão, vaga a vaga (ordenada por probabilidade × interesse)</t>
  </si>
  <si>
    <t xml:space="preserve">Uma linha por vaga, ordenada por probabilidade de aceitação × interesse. O veredicto junta interesse e facilidade (Score = 60% fit com PE e finanças + 40% facilidade). Match CV mede o encaixe do teu CV (0 a 100) e Prob. é uma estimativa comparativa, explicada em 'Perfil e pressupostos'. Os valores vêm de 'Dados completos'. A ordem ficou fixa na criação: usa o filtro do cabeçalho para reordenar. O botão 'Abrir' leva ao link da candidatura.</t>
  </si>
  <si>
    <t xml:space="preserve">#</t>
  </si>
  <si>
    <t xml:space="preserve">Score</t>
  </si>
  <si>
    <t xml:space="preserve">Prob. aceitação</t>
  </si>
  <si>
    <t xml:space="preserve">Empresa</t>
  </si>
  <si>
    <t xml:space="preserve">Role</t>
  </si>
  <si>
    <t xml:space="preserve">Tipo empresa</t>
  </si>
  <si>
    <t xml:space="preserve">Início</t>
  </si>
  <si>
    <t xml:space="preserve">Deadline</t>
  </si>
  <si>
    <t xml:space="preserve">Salário bruto est. (€/mês)</t>
  </si>
  <si>
    <t xml:space="preserve">Idiomas</t>
  </si>
  <si>
    <t xml:space="preserve">Porquê (CV)</t>
  </si>
  <si>
    <t xml:space="preserve">Info</t>
  </si>
  <si>
    <t xml:space="preserve">Tipo link</t>
  </si>
  <si>
    <t xml:space="preserve">Link</t>
  </si>
  <si>
    <t xml:space="preserve">Estágios 6 meses, entrada janeiro 2027, dados completos</t>
  </si>
  <si>
    <t xml:space="preserve">Azul: valores que introduzi ou estimei (editáveis). Preto: fórmulas. Todos os salários estimados são valores BRUTOS mensais (antes de impostos e descontos). São estimativas de mercado, exceto os do EIB e do IEFP, que são oficiais. Passa o rato por cima do cabeçalho das colunas principais para ver o que significam. Pesquisa de 17-10-2026.</t>
  </si>
  <si>
    <t xml:space="preserve">ID</t>
  </si>
  <si>
    <t xml:space="preserve">Tipo / área</t>
  </si>
  <si>
    <t xml:space="preserve">Duração</t>
  </si>
  <si>
    <t xml:space="preserve">Descrição (o que vais fazer)</t>
  </si>
  <si>
    <t xml:space="preserve">Requirements</t>
  </si>
  <si>
    <t xml:space="preserve">Elegibilidade (estudante / recém-licenciada)</t>
  </si>
  <si>
    <t xml:space="preserve">Dias até deadline</t>
  </si>
  <si>
    <t xml:space="preserve">Salário indicado na oferta (como indicado)</t>
  </si>
  <si>
    <t xml:space="preserve">Salário bruto est. mín (€/mês)</t>
  </si>
  <si>
    <t xml:space="preserve">Salário bruto est. máx (€/mês)</t>
  </si>
  <si>
    <t xml:space="preserve">Salário bruto est. médio (€/mês)</t>
  </si>
  <si>
    <t xml:space="preserve">Fonte / confiança do salário bruto</t>
  </si>
  <si>
    <t xml:space="preserve">Exigência da língua (0-1)</t>
  </si>
  <si>
    <t xml:space="preserve">Idioma (0-1)</t>
  </si>
  <si>
    <t xml:space="preserve">Experiência (0-1)</t>
  </si>
  <si>
    <t xml:space="preserve">Elegibilidade (0-1)</t>
  </si>
  <si>
    <t xml:space="preserve">Perfil / skills (0-1)</t>
  </si>
  <si>
    <t xml:space="preserve">Prob. base (dificuldade)</t>
  </si>
  <si>
    <t xml:space="preserve">Notas / riscos</t>
  </si>
  <si>
    <t xml:space="preserve">Ativa</t>
  </si>
  <si>
    <t xml:space="preserve">P efetiva</t>
  </si>
  <si>
    <t xml:space="preserve">Índice (P × interesse)</t>
  </si>
  <si>
    <t xml:space="preserve">Chave de rank</t>
  </si>
  <si>
    <t xml:space="preserve">Rank</t>
  </si>
  <si>
    <t xml:space="preserve">Match (ativas)</t>
  </si>
  <si>
    <t xml:space="preserve">P (ativas)</t>
  </si>
  <si>
    <t xml:space="preserve">Rothschild &amp; Co (Five Arrows)</t>
  </si>
  <si>
    <t xml:space="preserve">2027 Five Arrows Private Equity Long Term Internship</t>
  </si>
  <si>
    <t xml:space="preserve">Private Equity</t>
  </si>
  <si>
    <t xml:space="preserve">Banca de investimento / boutique</t>
  </si>
  <si>
    <t xml:space="preserve">Londres</t>
  </si>
  <si>
    <t xml:space="preserve">Não indicado (provável presencial)</t>
  </si>
  <si>
    <t xml:space="preserve">Jan 2027</t>
  </si>
  <si>
    <t xml:space="preserve">6 meses</t>
  </si>
  <si>
    <t xml:space="preserve">Pesquisa setorial e avaliação de oportunidades, memos de comité de investimento, modelos financeiros, apoio à execução de deals e monitorização de participadas.</t>
  </si>
  <si>
    <t xml:space="preserve">2:1 ou superior; estágio anterior em IB (M&amp;A/LevFin/ECM), PE ou consultoria estratégica top; fundamentos de corporate finance e LBO; Excel/PowerPoint avançados.</t>
  </si>
  <si>
    <t xml:space="preserve">Inglês</t>
  </si>
  <si>
    <t xml:space="preserve">Não indica se exige ser estudante</t>
  </si>
  <si>
    <t xml:space="preserve">Não indicado</t>
  </si>
  <si>
    <t xml:space="preserve">Estimativa (Londres, off-cycle PE/IB), valor bruto</t>
  </si>
  <si>
    <t xml:space="preserve">Muito alta</t>
  </si>
  <si>
    <t xml:space="preserve">EN</t>
  </si>
  <si>
    <t xml:space="preserve">Língua-chave EN (exigência 1); pede experiência prévia em IB/PE/consultoria, o CV mostrado não tem.</t>
  </si>
  <si>
    <t xml:space="preserve">Aberta (prazo não indicado)</t>
  </si>
  <si>
    <t xml:space="preserve">Exige experiência prévia em IB/PE/consultoria; ideal para quem já tem 1 estágio relevante.</t>
  </si>
  <si>
    <t xml:space="preserve">https://www.rothschildandco.com/en/careers/students-and-graduates/opportunities/2027-five-arrows-private-equity-long-term-internship/</t>
  </si>
  <si>
    <t xml:space="preserve">Direto (site/ATS da empresa)</t>
  </si>
  <si>
    <t xml:space="preserve">Verificada na página</t>
  </si>
  <si>
    <t xml:space="preserve">Rothschild &amp; Co</t>
  </si>
  <si>
    <t xml:space="preserve">Global Advisory Spain, Madrid Long Term Internship</t>
  </si>
  <si>
    <t xml:space="preserve">IB / M&amp;A</t>
  </si>
  <si>
    <t xml:space="preserve">Madrid</t>
  </si>
  <si>
    <t xml:space="preserve">Jan ou Jul 2027 (a indicar na candidatura)</t>
  </si>
  <si>
    <t xml:space="preserve">Pesquisa setorial e pitch books, modelos financeiros (DCF, comps, precedentes, LBO), coordenação de workstreams da transação.</t>
  </si>
  <si>
    <t xml:space="preserve">Liderança, análise, trabalho em equipa, atenção ao detalhe; experiência prévia de M&amp;A considerada.</t>
  </si>
  <si>
    <t xml:space="preserve">Espanhol e inglês (nível alto)</t>
  </si>
  <si>
    <t xml:space="preserve">Não indica</t>
  </si>
  <si>
    <t xml:space="preserve">Estimativa (Madrid, estágio IB), valor bruto</t>
  </si>
  <si>
    <t xml:space="preserve">Alta</t>
  </si>
  <si>
    <t xml:space="preserve">ES</t>
  </si>
  <si>
    <t xml:space="preserve">Língua-chave ES (exigência 1); experiência prévia em finanças valorizada, CV tem pouca.</t>
  </si>
  <si>
    <t xml:space="preserve">Espanhol de nível alto é a principal barreira. Link do portal de candidatura menciona 'July-2026', confirmar.</t>
  </si>
  <si>
    <t xml:space="preserve">https://www.rothschildandco.com/en/careers/students-and-graduates/opportunities/global-advisory-spain-madrid-long-term-internship-6-months-starting-january-or-july-2027/</t>
  </si>
  <si>
    <t xml:space="preserve">Stage, Transaction R&amp;Co, Global Advisory (Paris)</t>
  </si>
  <si>
    <t xml:space="preserve">Paris</t>
  </si>
  <si>
    <t xml:space="preserve">Jan/Mar 2027</t>
  </si>
  <si>
    <t xml:space="preserve">Não indicada</t>
  </si>
  <si>
    <t xml:space="preserve">Estágio em Global Advisory (M&amp;A) em Paris.</t>
  </si>
  <si>
    <t xml:space="preserve">Detalhes não obtidos; normalmente exige estudante com convention de stage.</t>
  </si>
  <si>
    <t xml:space="preserve">Francês provável</t>
  </si>
  <si>
    <t xml:space="preserve">Provável estudante (convention de stage)</t>
  </si>
  <si>
    <t xml:space="preserve">Estimativa (Paris, stage IB), valor bruto</t>
  </si>
  <si>
    <t xml:space="preserve">FR</t>
  </si>
  <si>
    <t xml:space="preserve">Língua-chave FR (exigência 0.6); experiência prévia em finanças valorizada, CV tem pouca; exige mestrado em curso ou convenção de estágio, risco.</t>
  </si>
  <si>
    <t xml:space="preserve">Por confirmar</t>
  </si>
  <si>
    <t xml:space="preserve">Estágios franceses exigem normalmente convenção da escola, difícil para recém-licenciada.</t>
  </si>
  <si>
    <t xml:space="preserve">https://www.rothschildandco.com/en/careers/students-and-graduates/opportunities/ga-stage-transaction-r-co-global-advisory-janviermars-2027/</t>
  </si>
  <si>
    <t xml:space="preserve">Parcial (agregador/título)</t>
  </si>
  <si>
    <t xml:space="preserve">Stage, Private Equity Investment Analyst, FAPI</t>
  </si>
  <si>
    <t xml:space="preserve">Mar 2027 (não é janeiro)</t>
  </si>
  <si>
    <t xml:space="preserve">Analista de investimento em private equity (Five Arrows / FAPI).</t>
  </si>
  <si>
    <t xml:space="preserve">Detalhes não obtidos.</t>
  </si>
  <si>
    <t xml:space="preserve">Provável estudante</t>
  </si>
  <si>
    <t xml:space="preserve">Estimativa (Paris, stage PE), valor bruto</t>
  </si>
  <si>
    <t xml:space="preserve">Língua-chave FR (exigência 0.6); pede experiência prévia em IB/PE/consultoria, o CV mostrado não tem; exige mestrado em curso ou convenção de estágio, risco.</t>
  </si>
  <si>
    <t xml:space="preserve">Início em março, só serve se aceitares atrasar 2 meses.</t>
  </si>
  <si>
    <t xml:space="preserve">https://rothschildandco.tal.net/vx/lang-en-GB/mobile-0/appcentre-1/brand-4/candidate/so/pm/1/pl/2/opp/969-Stage-Private-Equity-Investment-Analyst-FAPI-Janvier-Mars-2027/en-GB</t>
  </si>
  <si>
    <t xml:space="preserve">Blackstone</t>
  </si>
  <si>
    <t xml:space="preserve">2027 Private Equity Off-Cycle Internship</t>
  </si>
  <si>
    <t xml:space="preserve">VC / private equity</t>
  </si>
  <si>
    <t xml:space="preserve">Londres (conforme agregador)</t>
  </si>
  <si>
    <t xml:space="preserve">Jan ou Jul 2027</t>
  </si>
  <si>
    <t xml:space="preserve">~6 meses</t>
  </si>
  <si>
    <t xml:space="preserve">Modelação e análise financeira, investigação de investimentos, apoio à execução, memorandos, contacto com gestão de participadas, reuniões de due diligence.</t>
  </si>
  <si>
    <t xml:space="preserve">Estudante de licenciatura/mestrado com graduação prevista em 2026 ou 2027; CV com mês/ano de graduação e média, em PDF; competências analíticas e quantitativas.</t>
  </si>
  <si>
    <t xml:space="preserve">Estudante com graduação 2026/2027, encaixa</t>
  </si>
  <si>
    <t xml:space="preserve">Rolling (sem prazo)</t>
  </si>
  <si>
    <t xml:space="preserve">Estimativa (Londres, PE), valor bruto</t>
  </si>
  <si>
    <t xml:space="preserve">Língua-chave EN (exigência 1); experiência prévia em finanças valorizada, CV tem pouca; aceita recém-licenciadas.</t>
  </si>
  <si>
    <t xml:space="preserve">Aberta (rolling)</t>
  </si>
  <si>
    <t xml:space="preserve">Muito concorrida; candidatar cedo (rolling). Localização vem do agregador, confirmar.</t>
  </si>
  <si>
    <t xml:space="preserve">https://blackstone.wd1.myworkdayjobs.com/Blackstone_Campus_Careers/job/London/XMLNAME-2027-Blackstone-Private-Equity-Off-Cycle-Internship_45106</t>
  </si>
  <si>
    <t xml:space="preserve">Houlihan Lokey</t>
  </si>
  <si>
    <t xml:space="preserve">6-Month Off-Cycle Intern, Capital Solutions, Secondary Advisory</t>
  </si>
  <si>
    <t xml:space="preserve">Advisory (PE secundários)</t>
  </si>
  <si>
    <t xml:space="preserve">Liquidez para PE: estruturar financiamento, preparar materiais de venda e diligência para transações LP-led/GP-led, gerir data rooms.</t>
  </si>
  <si>
    <t xml:space="preserve">Mestrado em finanças/gestão numa escola top (em curso); experiência em PE/IB; fundamentos de PE.</t>
  </si>
  <si>
    <t xml:space="preserve">Francês e inglês (fluentes)</t>
  </si>
  <si>
    <t xml:space="preserve">Exige mestrado em curso</t>
  </si>
  <si>
    <t xml:space="preserve">Estimativa (Paris, off-cycle IB), valor bruto</t>
  </si>
  <si>
    <t xml:space="preserve">Língua-chave FR (exigência 1); pede experiência prévia em IB/PE/consultoria, o CV mostrado não tem; exige mestrado em curso ou convenção de estágio, risco.</t>
  </si>
  <si>
    <t xml:space="preserve">Francês fluente e mestrado em curso são eliminatórios.</t>
  </si>
  <si>
    <t xml:space="preserve">https://hl.wd1.myworkdayjobs.com/Campus/job/Paris-France/XMLNAME-6-Month-Off-Cycle-Intern---Capital-Solutions--Secondary-Advisory--January-2027-_R3617</t>
  </si>
  <si>
    <t xml:space="preserve">Off-Cycle Internship, Primary Capital Advisory (PE Fundraising)</t>
  </si>
  <si>
    <t xml:space="preserve">Advisory (PE fundraising)</t>
  </si>
  <si>
    <t xml:space="preserve">Posicionar gestores de ativos alternativos, preparar materiais de fundraising, gerir processos e due diligence de investidores.</t>
  </si>
  <si>
    <t xml:space="preserve">Experiência em fundraising PE / IB / transaction services; preferência por mestrado top; análise e multitasking.</t>
  </si>
  <si>
    <t xml:space="preserve">Francês e inglês fluentes; espanhol/alemão é vantagem</t>
  </si>
  <si>
    <t xml:space="preserve">Preferência por mestrado em curso</t>
  </si>
  <si>
    <t xml:space="preserve">Pede experiência em fundraising/IB.</t>
  </si>
  <si>
    <t xml:space="preserve">https://hl.wd1.myworkdayjobs.com/Campus/job/Paris-France/Off-Cycle-Internship---Primary-Capital-Advisory--Private-Equity-Fundraising----January-2027_R3598</t>
  </si>
  <si>
    <t xml:space="preserve">Alantra</t>
  </si>
  <si>
    <t xml:space="preserve">Investment Banking Off-Cycle Internship Programme, January 2027</t>
  </si>
  <si>
    <t xml:space="preserve">Apoio a M&amp;A e corporate finance: pesquisa, valuation (comps, precedentes, DCF), modelos, pitchbooks e memorandos, due diligence e execução.</t>
  </si>
  <si>
    <t xml:space="preserve">Estudante ou recém-licenciado (Business, Finance, Economics, Engenharia); estágio prévio em IB/PE/consultoria; contabilidade e valuation; Excel e PowerPoint avançados.</t>
  </si>
  <si>
    <t xml:space="preserve">Inglês e espanhol (bilingue/quase nativo)</t>
  </si>
  <si>
    <t xml:space="preserve">Aceita recém-licenciados, encaixa</t>
  </si>
  <si>
    <t xml:space="preserve">Estimativa (Madrid, IB), valor bruto</t>
  </si>
  <si>
    <t xml:space="preserve">Língua-chave ES (exigência 1); pede experiência prévia em IB/PE/consultoria, o CV mostrado não tem; aceita recém-licenciadas.</t>
  </si>
  <si>
    <t xml:space="preserve">Aceita recém-licenciados (vantagem). Espanhol quase nativo é a barreira.</t>
  </si>
  <si>
    <t xml:space="preserve">https://alantra.wd3.myworkdayjobs.com/Alantra/job/Spain---Madrid/Investment-Banking-Off-Cycle-Internship-Programme---January-2027_JR498</t>
  </si>
  <si>
    <t xml:space="preserve">IK Partners</t>
  </si>
  <si>
    <t xml:space="preserve">Capital Markets Off-Cycle Analyst 2027</t>
  </si>
  <si>
    <t xml:space="preserve">Presencial</t>
  </si>
  <si>
    <t xml:space="preserve">5 meses</t>
  </si>
  <si>
    <t xml:space="preserve">Análise financeira e modelação, due diligence e estruturação de financiamento de LBOs, monitorização de participadas, pesquisa de mercados de dívida.</t>
  </si>
  <si>
    <t xml:space="preserve">Finanças/economia/engenharia; estágio prévio (~6 meses) em PE, VC, IB, M&amp;A ou consultoria; capital markets/leveraged finance é plus.</t>
  </si>
  <si>
    <t xml:space="preserve">Duração 5 meses (não 6). Pede ~6 meses de experiência prévia.</t>
  </si>
  <si>
    <t xml:space="preserve">https://ikpartners.recruitee.com/o/capital-markets-off-cycle-analyst-2027</t>
  </si>
  <si>
    <t xml:space="preserve">BlackRock</t>
  </si>
  <si>
    <t xml:space="preserve">2027 Off-cycle Internship Program, EMEA (Paris, Jan-Jun 2027)</t>
  </si>
  <si>
    <t xml:space="preserve">Asset Management</t>
  </si>
  <si>
    <t xml:space="preserve">Gestão de ativos</t>
  </si>
  <si>
    <t xml:space="preserve">Jan-Jun 2027</t>
  </si>
  <si>
    <t xml:space="preserve">Estágio em equipa específica (ex.: Private Debt, Investment Research, Analytics &amp; Modeling) com objetivos e projetos próprios.</t>
  </si>
  <si>
    <t xml:space="preserve">Penúltimo ano de curso; graduação entre jul 2027 e 2028; avaliação pré-entrevista em 5 dias; só 1 candidatura por programa/ano.</t>
  </si>
  <si>
    <t xml:space="preserve">Inglês (francês provável)</t>
  </si>
  <si>
    <t xml:space="preserve">Exige penúltimo ano, provavelmente NÃO elegível</t>
  </si>
  <si>
    <t xml:space="preserve">Ver doc 'EMEA 2027 Internship Salary Ranges' (não acessível)</t>
  </si>
  <si>
    <t xml:space="preserve">Estimativa (Paris, asset mgmt), valor bruto</t>
  </si>
  <si>
    <t xml:space="preserve">Língua-chave FR (exigência 0.4); experiência prévia em finanças valorizada, CV tem pouca; provavelmente inelegível (penúltimo ano / prazo).</t>
  </si>
  <si>
    <t xml:space="preserve">Prazo expirado</t>
  </si>
  <si>
    <t xml:space="preserve">Prazo de 30/09/2026 já passou e exige penúltimo ano.</t>
  </si>
  <si>
    <t xml:space="preserve">https://careers.blackrock.com/job/london/2027-off-cycle-internship-program-emea/45831/97104654800</t>
  </si>
  <si>
    <t xml:space="preserve">Página de carreiras (procurar a vaga)</t>
  </si>
  <si>
    <t xml:space="preserve">2027 Off-cycle Internship Program, EMEA (Frankfurt/Munique, a partir de mar 2027)</t>
  </si>
  <si>
    <t xml:space="preserve">Frankfurt / Munique</t>
  </si>
  <si>
    <t xml:space="preserve">Mar-Set 2027 (Munique), não é janeiro</t>
  </si>
  <si>
    <t xml:space="preserve">~6-7 meses</t>
  </si>
  <si>
    <t xml:space="preserve">Estágio em equipa específica (Private Debt em Munique, etc.).</t>
  </si>
  <si>
    <t xml:space="preserve">Penúltimo ano de curso; graduação jul 2027-2028; avaliação pré-entrevista.</t>
  </si>
  <si>
    <t xml:space="preserve">Inglês (alemão provável)</t>
  </si>
  <si>
    <t xml:space="preserve">Estimativa (Alemanha, asset mgmt), valor bruto</t>
  </si>
  <si>
    <t xml:space="preserve">DE</t>
  </si>
  <si>
    <t xml:space="preserve">Língua-chave DE (exigência 0.3); experiência prévia em finanças valorizada, CV tem pouca; provavelmente inelegível (penúltimo ano / prazo).</t>
  </si>
  <si>
    <t xml:space="preserve">Aberta, prazo definido</t>
  </si>
  <si>
    <t xml:space="preserve">Elegibilidade (penúltimo ano) provavelmente exclui-te; início em março.</t>
  </si>
  <si>
    <t xml:space="preserve">BNP Paribas</t>
  </si>
  <si>
    <t xml:space="preserve">Investment Banking Trainee, M&amp;A Advisory (Lisboa)</t>
  </si>
  <si>
    <t xml:space="preserve">Banca de investimento</t>
  </si>
  <si>
    <t xml:space="preserve">Lisboa</t>
  </si>
  <si>
    <t xml:space="preserve">Híbrido</t>
  </si>
  <si>
    <t xml:space="preserve">Não indicado (confirmar)</t>
  </si>
  <si>
    <t xml:space="preserve">Identificar oportunidades, apoio a pitches e teasers, análise setorial e financeira, modelos de valuation (múltiplos, DCF), bases de dados de deals, credenciais.</t>
  </si>
  <si>
    <t xml:space="preserve">Formação em finanças/gestão/economia; inglês fluente; modelação financeira; análise quantitativa; candidatura obrigatoriamente em inglês.</t>
  </si>
  <si>
    <t xml:space="preserve">Inglês fluente (português)</t>
  </si>
  <si>
    <t xml:space="preserve">Estimativa (Lisboa; ref. bolsa IEFP 1.181,69 €), valor bruto</t>
  </si>
  <si>
    <t xml:space="preserve">Média-alta</t>
  </si>
  <si>
    <t xml:space="preserve">Língua-chave EN (exigência 1); não exige experiência prévia em finanças; aceita recém-licenciadas.</t>
  </si>
  <si>
    <t xml:space="preserve">Melhor opção em Portugal. Página atualizada a 24-07-2026, confirmar data de início e se ainda está ativa (job ID 91168).</t>
  </si>
  <si>
    <t xml:space="preserve">https://www.bnpparibas.pt/en/jobs/investment-banking-trainee-ma-advisory/</t>
  </si>
  <si>
    <t xml:space="preserve">EY-Parthenon</t>
  </si>
  <si>
    <t xml:space="preserve">Business Analyst, EY-Parthenon M&amp;A (Real Estate) (Lisboa)</t>
  </si>
  <si>
    <t xml:space="preserve">Big 4 / Transações</t>
  </si>
  <si>
    <t xml:space="preserve">Big 4 / consultoria</t>
  </si>
  <si>
    <t xml:space="preserve">Imediato</t>
  </si>
  <si>
    <t xml:space="preserve">Contrato (não é estágio)</t>
  </si>
  <si>
    <t xml:space="preserve">Analista júnior em M&amp;A/transações imobiliárias.</t>
  </si>
  <si>
    <t xml:space="preserve">Júnior (0-2 anos de experiência).</t>
  </si>
  <si>
    <t xml:space="preserve">Inglês e português</t>
  </si>
  <si>
    <t xml:space="preserve">Recém-licenciada elegível</t>
  </si>
  <si>
    <t xml:space="preserve">Não indicado (publicada 11-08-2026)</t>
  </si>
  <si>
    <t xml:space="preserve">'Competitive'</t>
  </si>
  <si>
    <t xml:space="preserve">Estimativa (Big 4 júnior Lisboa), valor bruto</t>
  </si>
  <si>
    <t xml:space="preserve">Não é estágio, mas é a porta de entrada em M&amp;A em Lisboa; bom plano B.</t>
  </si>
  <si>
    <t xml:space="preserve">https://www.ey.com/pt_pt/careers</t>
  </si>
  <si>
    <t xml:space="preserve">Summer Intern, Investment Banking, FIG (Lisboa)</t>
  </si>
  <si>
    <t xml:space="preserve">Jun/Jul (verão)</t>
  </si>
  <si>
    <t xml:space="preserve">Pitches, apoio a M&amp;A buy-side/sell-side, data rooms, apoio a pricing/análise de crédito.</t>
  </si>
  <si>
    <t xml:space="preserve">Top da turma em finanças; Word/Excel/PowerPoint; direito a trabalhar na UE; para recém-licenciados; pode converter em Analyst.</t>
  </si>
  <si>
    <t xml:space="preserve">Português e inglês fluentes; espanhol/italiano desejável</t>
  </si>
  <si>
    <t xml:space="preserve">Recém-licenciados, encaixa</t>
  </si>
  <si>
    <t xml:space="preserve">Não aberta (anúncio de 2023)</t>
  </si>
  <si>
    <t xml:space="preserve">'Remunerado'</t>
  </si>
  <si>
    <t xml:space="preserve">Estimativa (Lisboa), valor bruto</t>
  </si>
  <si>
    <t xml:space="preserve">Monitorizar (não aberta)</t>
  </si>
  <si>
    <t xml:space="preserve">Anúncio visto é de 2023, de verão. Enviar candidatura espontânea à Alantra Lisboa.</t>
  </si>
  <si>
    <t xml:space="preserve">https://alantra.wd3.myworkdayjobs.com/Alantra/job/Portugal---Lisbon/Sumer-Intern_JR132</t>
  </si>
  <si>
    <t xml:space="preserve">Ardian</t>
  </si>
  <si>
    <t xml:space="preserve">Private Equity Buyout Stage, Janvier 2027</t>
  </si>
  <si>
    <t xml:space="preserve">Memos de investimento (em inglês), análise financeira, acompanhamento de due diligence, pesquisa de setores/comparáveis, monitorização de participadas.</t>
  </si>
  <si>
    <t xml:space="preserve">Último ano (end-of-studies) ou 2.º ano; modelação financeira e Excel fortes; exige convention de stage de uma instituição de ensino.</t>
  </si>
  <si>
    <t xml:space="preserve">Inglês e francês fluentes (essencial)</t>
  </si>
  <si>
    <t xml:space="preserve">Exige convenção de estágio, tens de estar inscrita</t>
  </si>
  <si>
    <t xml:space="preserve">Não indicado (publicada 05-08-2026)</t>
  </si>
  <si>
    <t xml:space="preserve">'Selon profil' + vales de refeição</t>
  </si>
  <si>
    <t xml:space="preserve">Estimativa (Paris, PE), valor bruto</t>
  </si>
  <si>
    <t xml:space="preserve">Língua-chave FR (exigência 1); experiência prévia em finanças valorizada, CV tem pouca; exige mestrado em curso ou convenção de estágio, risco.</t>
  </si>
  <si>
    <t xml:space="preserve">Francês fluente e convenção de estágio são os maiores riscos (podes estar ainda inscrita até janeiro?).</t>
  </si>
  <si>
    <t xml:space="preserve">https://inforcapital.com/jobs/ardian-private-equity-buyout-stage-janvier-2027-i-paris-mf/</t>
  </si>
  <si>
    <t xml:space="preserve">Anúncio em plataforma</t>
  </si>
  <si>
    <t xml:space="preserve">Private Equity Co-Investment Stage, Janvier 2027</t>
  </si>
  <si>
    <t xml:space="preserve">Provável 6 meses</t>
  </si>
  <si>
    <t xml:space="preserve">Co-investimento em private equity.</t>
  </si>
  <si>
    <t xml:space="preserve">Detalhes não obtidos (provável perfil igual ao Buyout).</t>
  </si>
  <si>
    <t xml:space="preserve">Inglês e francês provável</t>
  </si>
  <si>
    <t xml:space="preserve">Provável convenção de estágio</t>
  </si>
  <si>
    <t xml:space="preserve">Língua-chave FR (exigência 0.8); experiência prévia em finanças valorizada, CV tem pouca; exige mestrado em curso ou convenção de estágio, risco.</t>
  </si>
  <si>
    <t xml:space="preserve">Idem Buyout.</t>
  </si>
  <si>
    <t xml:space="preserve">https://www.jobteaser.com/en/job-offers/6b4351d6-5d6f-4919-9301-8a260372988b-ardian-private-equity-co-investment-stage-janvier-2027-paris-m-f</t>
  </si>
  <si>
    <t xml:space="preserve">Private Equity Expansion Stage, Janvier 2027</t>
  </si>
  <si>
    <t xml:space="preserve">Equipa Expansion (investimentos minoritários/growth em PE).</t>
  </si>
  <si>
    <t xml:space="preserve">https://www.jobteaser.com/fr/job-offers/eb1aaf93-15ad-4de7-8761-4ec928254ea6-ardian-private-equity-expansion-stage-janvier-2027-paris-h-f</t>
  </si>
  <si>
    <t xml:space="preserve">Infrastructure Intern (Madrid)</t>
  </si>
  <si>
    <t xml:space="preserve">Private Equity (Infraestruturas)</t>
  </si>
  <si>
    <t xml:space="preserve">Q1 2027</t>
  </si>
  <si>
    <t xml:space="preserve">Estágio na equipa de infraestruturas.</t>
  </si>
  <si>
    <t xml:space="preserve">Não obtidos.</t>
  </si>
  <si>
    <t xml:space="preserve">Inglês; espanhol por confirmar</t>
  </si>
  <si>
    <t xml:space="preserve">Estimativa (Madrid), valor bruto</t>
  </si>
  <si>
    <t xml:space="preserve">Língua-chave ES (exigência 0.4); experiência prévia em finanças valorizada, CV tem pouca; exige mestrado em curso ou convenção de estágio, risco.</t>
  </si>
  <si>
    <t xml:space="preserve">Link direto para a oferta.</t>
  </si>
  <si>
    <t xml:space="preserve">https://www.studentjob.es/ofertas/8034308-infrastructure-intern-january-2027-madrid-m-f</t>
  </si>
  <si>
    <t xml:space="preserve">Infrastructure Intern (Luxemburgo)</t>
  </si>
  <si>
    <t xml:space="preserve">Inglês; francês por confirmar</t>
  </si>
  <si>
    <t xml:space="preserve">Estimativa (Luxemburgo), valor bruto</t>
  </si>
  <si>
    <t xml:space="preserve">Língua-chave FR (exigência 0.4); experiência prévia em finanças valorizada, CV tem pouca; exige mestrado em curso ou convenção de estágio, risco.</t>
  </si>
  <si>
    <t xml:space="preserve">Link direto para a oferta; descrição não obtida.</t>
  </si>
  <si>
    <t xml:space="preserve">https://ardian.wd103.myworkdayjobs.com/ArdianCareers/job/Luxembourg/Infrastructure-Intern---Luxembourg---March-2027_JR1002223</t>
  </si>
  <si>
    <t xml:space="preserve">Eurazeo</t>
  </si>
  <si>
    <t xml:space="preserve">Internship, Strategy and M&amp;A (Paris, S1 2027)</t>
  </si>
  <si>
    <t xml:space="preserve">M&amp;A / Estratégia (gestora de ativos)</t>
  </si>
  <si>
    <t xml:space="preserve">Jan 2027 (ou ASAP)</t>
  </si>
  <si>
    <t xml:space="preserve">4-6 meses</t>
  </si>
  <si>
    <t xml:space="preserve">Inteligência estratégica sobre asset management alternativo, benchmarks, e M&amp;A/corporate development (screening de alvos, materiais de processo).</t>
  </si>
  <si>
    <t xml:space="preserve">Mestrado (Bac+4/5) em business/engenharia; Word/Excel/PowerPoint; experiência em finanças é plus.</t>
  </si>
  <si>
    <t xml:space="preserve">Inglês (nível alto)</t>
  </si>
  <si>
    <t xml:space="preserve">Mestrado, candidatos recém-licenciados possíveis</t>
  </si>
  <si>
    <t xml:space="preserve">Aberta até a oferta sair</t>
  </si>
  <si>
    <t xml:space="preserve">Não divulgado</t>
  </si>
  <si>
    <t xml:space="preserve">Estimativa (Paris), valor bruto</t>
  </si>
  <si>
    <t xml:space="preserve">Língua-chave EN (exigência 1); não exige experiência prévia em finanças; exige mestrado em curso ou convenção de estágio, risco.</t>
  </si>
  <si>
    <t xml:space="preserve">Só pede inglês, menos barreira de idioma que outros em Paris. Duração 4-6 meses.</t>
  </si>
  <si>
    <t xml:space="preserve">https://www.jobteaser.com/fr/job-offers/62c753b2-3cd7-44c8-892b-24806d21c9e5-eurazeo-internship-strategy-and-m-a-paris-s1-2027</t>
  </si>
  <si>
    <t xml:space="preserve">Internship, Private Debt Direct Lending (Paris, S1 2027)</t>
  </si>
  <si>
    <t xml:space="preserve">Private Debt</t>
  </si>
  <si>
    <t xml:space="preserve">Jan 2027 (ou Mar)</t>
  </si>
  <si>
    <t xml:space="preserve">Triagem e due diligence de deals, estruturação, memos de investimento, modelos financeiros, reuniões com gestão e advisors.</t>
  </si>
  <si>
    <t xml:space="preserve">Mestrado/MSc em escola top ou Grande École; forte modelação e comunicação; conhecimento de PE é plus.</t>
  </si>
  <si>
    <t xml:space="preserve">Inglês (fluente, obrigatório)</t>
  </si>
  <si>
    <t xml:space="preserve">Mestrado em curso</t>
  </si>
  <si>
    <t xml:space="preserve">Língua-chave EN (exigência 1); experiência prévia em finanças valorizada, CV tem pouca; exige mestrado em curso ou convenção de estágio, risco.</t>
  </si>
  <si>
    <t xml:space="preserve">Escola 'top' pedida; só inglês obrigatório.</t>
  </si>
  <si>
    <t xml:space="preserve">https://www.jobteaser.com/fr/job-offers/83c5271d-79e5-47fd-8a3a-68bd45762dcc-eurazeo-internship-private-debt-direct-lending-paris-s1-2027</t>
  </si>
  <si>
    <t xml:space="preserve">European Investment Bank (EIB)</t>
  </si>
  <si>
    <t xml:space="preserve">Traineeship Programme (sessão março-abril 2027)</t>
  </si>
  <si>
    <t xml:space="preserve">Instituição financeira pública</t>
  </si>
  <si>
    <t xml:space="preserve">Setor público / instituição</t>
  </si>
  <si>
    <t xml:space="preserve">Mar-Abr 2027 (não é janeiro)</t>
  </si>
  <si>
    <t xml:space="preserve">3-5 meses (até 6 a pedido da universidade)</t>
  </si>
  <si>
    <t xml:space="preserve">Estágio em diretorias do banco (financiamento de projetos, estratégia, etc.), por vaga anunciada.</t>
  </si>
  <si>
    <t xml:space="preserve">Último ano ou recém-licenciado com &lt;1 ano de experiência; nacionalidade UE; inglês e/ou francês.</t>
  </si>
  <si>
    <t xml:space="preserve">Inglês e/ou francês</t>
  </si>
  <si>
    <t xml:space="preserve">Recém-licenciados elegíveis, encaixa</t>
  </si>
  <si>
    <t xml:space="preserve">Vagas anunciadas ~4 meses antes (novembro)</t>
  </si>
  <si>
    <t xml:space="preserve">1.500 €/mês (fixo; bruto ou líquido não especificado)</t>
  </si>
  <si>
    <t xml:space="preserve">Fonte oficial EIB (a fonte não diz se é bruto ou líquido)</t>
  </si>
  <si>
    <t xml:space="preserve">Início em março. Boa opção de CV. Vigiar o portal de emprego do EIB em novembro.</t>
  </si>
  <si>
    <t xml:space="preserve">https://www.eib.org/en/about/careers/categories/traineeships/index</t>
  </si>
  <si>
    <t xml:space="preserve">Jefferies</t>
  </si>
  <si>
    <t xml:space="preserve">IB Off-Cycle Internship, Paris (Generalist / Consumer)</t>
  </si>
  <si>
    <t xml:space="preserve">Estágio off-cycle em investment banking.</t>
  </si>
  <si>
    <t xml:space="preserve">Detalhes não obtidos (página exige verificação).</t>
  </si>
  <si>
    <t xml:space="preserve">Ver detalhes no portal Jefferies.</t>
  </si>
  <si>
    <t xml:space="preserve">https://jefferies.tal.net/vx/lang-en-GB/mobile-0/appcentre-1/brand-4/candidate/so/pm/1/pl/2/opp/1821-2027-Investment-Banking-Off-Cycle-Internship-Programme-Paris-Generalist-Team-January-start/en-GB</t>
  </si>
  <si>
    <t xml:space="preserve">IB Off-Cycle Internship, Madrid (Country Coverage)</t>
  </si>
  <si>
    <t xml:space="preserve">Fev 2027 (ou Ago)</t>
  </si>
  <si>
    <t xml:space="preserve">Espanhol provável</t>
  </si>
  <si>
    <t xml:space="preserve">Língua-chave ES (exigência 0.7); experiência prévia em finanças valorizada, CV tem pouca.</t>
  </si>
  <si>
    <t xml:space="preserve">Início em fevereiro.</t>
  </si>
  <si>
    <t xml:space="preserve">https://jefferies.tal.net/vx/lang-en-GB/mobile-0/appcentre-1/brand-4/candidate/so/pm/1/pl/2/opp/1823-2027-Investment-Banking-Off-Cycle-Internship-Madrid-Country-Coverage-Team-February-August-start/en-GB</t>
  </si>
  <si>
    <t xml:space="preserve">IB Off-Cycle Internship, Londres (vários grupos)</t>
  </si>
  <si>
    <t xml:space="preserve">Fev 2027</t>
  </si>
  <si>
    <t xml:space="preserve">Estimativa (Londres), valor bruto</t>
  </si>
  <si>
    <t xml:space="preserve">Língua-chave EN (exigência 1); experiência prévia em finanças valorizada, CV tem pouca.</t>
  </si>
  <si>
    <t xml:space="preserve">https://jefferies.tal.net/vx/lang-en-GB/mobile-0/appcentre-1/brand-4/candidate/so/pm/1/pl/2/opp/1799-2027-Investment-Banking-Off-Cycle-Internship-Programme-VARIOUS-Groups-London-Feb-Start-Date/en-GB</t>
  </si>
  <si>
    <t xml:space="preserve">Goldman Sachs</t>
  </si>
  <si>
    <t xml:space="preserve">IB Classic Seasonal / Off-Cycle (Paris, jan-mar 2027)</t>
  </si>
  <si>
    <t xml:space="preserve">Jan-Mar 2027</t>
  </si>
  <si>
    <t xml:space="preserve">~3 meses por sessão</t>
  </si>
  <si>
    <t xml:space="preserve">Estágio sazonal em investment banking.</t>
  </si>
  <si>
    <t xml:space="preserve">Detalhes não obtidos (página dinâmica).</t>
  </si>
  <si>
    <t xml:space="preserve">Língua-chave FR (exigência 0.5); experiência prévia em finanças valorizada, CV tem pouca; exige mestrado em curso ou convenção de estágio, risco.</t>
  </si>
  <si>
    <t xml:space="preserve">Janela jan-mar pode ser mais curta que 6 meses.</t>
  </si>
  <si>
    <t xml:space="preserve">https://higher.gs.com/roles/170844_GS_CAMPUS</t>
  </si>
  <si>
    <t xml:space="preserve">IB Classic Seasonal / Off-Cycle (Frankfurt, jan-mar 2027)</t>
  </si>
  <si>
    <t xml:space="preserve">Frankfurt</t>
  </si>
  <si>
    <t xml:space="preserve">Inglês; alemão provável</t>
  </si>
  <si>
    <t xml:space="preserve">Estimativa (Frankfurt), valor bruto</t>
  </si>
  <si>
    <t xml:space="preserve">Língua-chave DE (exigência 0.5); experiência prévia em finanças valorizada, CV tem pouca; exige mestrado em curso ou convenção de estágio, risco.</t>
  </si>
  <si>
    <t xml:space="preserve">Idem Paris.</t>
  </si>
  <si>
    <t xml:space="preserve">https://higher.gs.com/roles/170846_GS_CAMPUS</t>
  </si>
  <si>
    <t xml:space="preserve">KKR</t>
  </si>
  <si>
    <t xml:space="preserve">2027 Off-Cycle Intern, Private Equity (Paris)</t>
  </si>
  <si>
    <t xml:space="preserve">2027 (mês por confirmar)</t>
  </si>
  <si>
    <t xml:space="preserve">Estágio off-cycle em private equity.</t>
  </si>
  <si>
    <t xml:space="preserve">Inglês; francês provável</t>
  </si>
  <si>
    <t xml:space="preserve">Língua-chave FR (exigência 0.4); pede experiência prévia em IB/PE/consultoria, o CV mostrado não tem; exige mestrado em curso ou convenção de estágio, risco.</t>
  </si>
  <si>
    <t xml:space="preserve">Início exato não confirmado.</t>
  </si>
  <si>
    <t xml:space="preserve">https://www.kkr.com/careers/student-careers/student-career-opportunities/post?gh_jid=6109396004</t>
  </si>
  <si>
    <t xml:space="preserve">2027 Off-Cycle Intern, Private Equity (Frankfurt)</t>
  </si>
  <si>
    <t xml:space="preserve">Língua-chave DE (exigência 0.4); pede experiência prévia em IB/PE/consultoria, o CV mostrado não tem; exige mestrado em curso ou convenção de estágio, risco.</t>
  </si>
  <si>
    <t xml:space="preserve">https://www.kkr.com/careers/student-careers/student-career-opportunities/post?gh_jid=4777518004</t>
  </si>
  <si>
    <t xml:space="preserve">J.P. Morgan</t>
  </si>
  <si>
    <t xml:space="preserve">Global Investment Banking Analyst Program, Off-Cycle Internship (Estocolmo)</t>
  </si>
  <si>
    <t xml:space="preserve">Estocolmo</t>
  </si>
  <si>
    <t xml:space="preserve">Estágio off-cycle em IB.</t>
  </si>
  <si>
    <t xml:space="preserve">Estimativa (Estocolmo), valor bruto</t>
  </si>
  <si>
    <t xml:space="preserve">Prazo 7 nov 2026 (visto num agregador).</t>
  </si>
  <si>
    <t xml:space="preserve">https://jpmc.fa.oraclecloud.com/hcmUI/CandidateExperience/en/sites/CX_1001/job/210739544</t>
  </si>
  <si>
    <t xml:space="preserve">Astorg</t>
  </si>
  <si>
    <t xml:space="preserve">Private Equity Intern (Paris)</t>
  </si>
  <si>
    <t xml:space="preserve">Estágio em private equity.</t>
  </si>
  <si>
    <t xml:space="preserve">https://astorg.pinpointhq.com/en/postings/ff0e8d06-7d85-4ec9-b54c-d521d11bd270</t>
  </si>
  <si>
    <t xml:space="preserve">Sagard</t>
  </si>
  <si>
    <t xml:space="preserve">https://job-boards.greenhouse.io/sagardcareers/jobs/4596033005</t>
  </si>
  <si>
    <t xml:space="preserve">Armira</t>
  </si>
  <si>
    <t xml:space="preserve">Growth Investment Intern (Munique)</t>
  </si>
  <si>
    <t xml:space="preserve">Munique</t>
  </si>
  <si>
    <t xml:space="preserve">Jan 2027 (1 jan-31 mar)</t>
  </si>
  <si>
    <t xml:space="preserve">3 meses (1 jan-31 mar)</t>
  </si>
  <si>
    <t xml:space="preserve">Estágio na equipa de investimento.</t>
  </si>
  <si>
    <t xml:space="preserve">Estimativa (Munique), valor bruto</t>
  </si>
  <si>
    <t xml:space="preserve">https://armira-beteiligungen-gmbh-co-kg.jobs.personio.com/job/2573591</t>
  </si>
  <si>
    <t xml:space="preserve">Neuplaner</t>
  </si>
  <si>
    <t xml:space="preserve">Praktikant, M&amp;A Investment Team (Berlim)</t>
  </si>
  <si>
    <t xml:space="preserve">M&amp;A</t>
  </si>
  <si>
    <t xml:space="preserve">Berlim</t>
  </si>
  <si>
    <t xml:space="preserve">Q1 ou Q2 2027</t>
  </si>
  <si>
    <t xml:space="preserve">Estágio na equipa de investimento M&amp;A.</t>
  </si>
  <si>
    <t xml:space="preserve">Alemão provável</t>
  </si>
  <si>
    <t xml:space="preserve">Estimativa (Berlim), valor bruto</t>
  </si>
  <si>
    <t xml:space="preserve">Língua-chave DE (exigência 0.7); experiência prévia em finanças valorizada, CV tem pouca; exige mestrado em curso ou convenção de estágio, risco.</t>
  </si>
  <si>
    <t xml:space="preserve">Visto em fyntraq.io.</t>
  </si>
  <si>
    <t xml:space="preserve">https://fyntraq.io/private-equity-internships-europe</t>
  </si>
  <si>
    <t xml:space="preserve">Banco Santander (Portugal)</t>
  </si>
  <si>
    <t xml:space="preserve">Programa de Estágios, Candidatura espontânea (Lisboa)</t>
  </si>
  <si>
    <t xml:space="preserve">Banca</t>
  </si>
  <si>
    <t xml:space="preserve">Banca comercial</t>
  </si>
  <si>
    <t xml:space="preserve">Flexível</t>
  </si>
  <si>
    <t xml:space="preserve">Até 12 meses</t>
  </si>
  <si>
    <t xml:space="preserve">Programa geral de estágios; áreas variadas (pedir áreas de Corporate/Investment Banking).</t>
  </si>
  <si>
    <t xml:space="preserve">Português e inglês</t>
  </si>
  <si>
    <t xml:space="preserve">Recém-licenciados</t>
  </si>
  <si>
    <t xml:space="preserve">Aberta (espontânea)</t>
  </si>
  <si>
    <t xml:space="preserve">Estimativa (Lisboa; ref. IEFP), valor bruto</t>
  </si>
  <si>
    <t xml:space="preserve">Média</t>
  </si>
  <si>
    <t xml:space="preserve">PT</t>
  </si>
  <si>
    <t xml:space="preserve">Língua-chave PT (exigência 1); não exige experiência prévia em finanças; aceita recém-licenciadas.</t>
  </si>
  <si>
    <t xml:space="preserve">Candidatura espontânea, indicar interesse em CIB/Corporate Finance.</t>
  </si>
  <si>
    <t xml:space="preserve">https://www.santander.com/en/careers</t>
  </si>
  <si>
    <t xml:space="preserve">Banco Santander Totta</t>
  </si>
  <si>
    <t xml:space="preserve">Estágio, Área de Fomento à Construção (Lisboa)</t>
  </si>
  <si>
    <t xml:space="preserve">Estágio na área de financiamento à construção/imobiliário.</t>
  </si>
  <si>
    <t xml:space="preserve">Português</t>
  </si>
  <si>
    <t xml:space="preserve">Menos relacionado com PE, mas é banca e Lisboa.</t>
  </si>
  <si>
    <t xml:space="preserve">Qualquer empresa portuguesa (PE/VC/Corporate Finance)</t>
  </si>
  <si>
    <t xml:space="preserve">Estágio profissional via IEFP (Estágios +Talento) + candidatura espontânea</t>
  </si>
  <si>
    <t xml:space="preserve">Via de acesso (Portugal)</t>
  </si>
  <si>
    <t xml:space="preserve">Via de acesso</t>
  </si>
  <si>
    <t xml:space="preserve">Lisboa (e outras)</t>
  </si>
  <si>
    <t xml:space="preserve">Depende da empresa</t>
  </si>
  <si>
    <t xml:space="preserve">Flexível (empresa candidata 12-10 a 07-12-2026)</t>
  </si>
  <si>
    <t xml:space="preserve">Estágio profissional de 6 meses com bolsa parcialmente financiada pelo IEFP (65-80%), o que torna as empresas mais abertas a contratar estagiários.</t>
  </si>
  <si>
    <t xml:space="preserve">Jovem até 35 anos, inscrito no IEFP, nível 6 (licenciatura) ou superior; a empresa faz a candidatura no iefponline.</t>
  </si>
  <si>
    <t xml:space="preserve">Exige ser licenciada (encaixa a partir de janeiro)</t>
  </si>
  <si>
    <t xml:space="preserve">07-12-2026 (janela da empresa)</t>
  </si>
  <si>
    <t xml:space="preserve">Bolsa 1.181,69 € brutos (nível 6)</t>
  </si>
  <si>
    <t xml:space="preserve">Fonte oficial IEFP (bruto)</t>
  </si>
  <si>
    <t xml:space="preserve">Via a explorar</t>
  </si>
  <si>
    <t xml:space="preserve">Estratégia: contactar gestoras portuguesas (Oxy, Explorer, Armilar, Portugal Ventures, etc.) a propor estágio IEFP. Não encontrei vagas públicas nestas gestoras.</t>
  </si>
  <si>
    <t xml:space="preserve">https://www.iefp.pt/estagios</t>
  </si>
  <si>
    <t xml:space="preserve">Private Equity Buyout Stage, Mars 2027</t>
  </si>
  <si>
    <t xml:space="preserve">Estágio em equipa de investimento de private equity: análise de oportunidades, modelação financeira, memos de investimento e monitorização de participadas. Descrição típica, confirmar na oferta.</t>
  </si>
  <si>
    <t xml:space="preserve">Não obtidos da oferta. Fundos de PE pedem tipicamente forte modelação, excelente registo académico e experiência prévia em IB/PE/consultoria.</t>
  </si>
  <si>
    <t xml:space="preserve">Francês e inglês (ver oferta)</t>
  </si>
  <si>
    <t xml:space="preserve">Estimativa de mercado, valor bruto</t>
  </si>
  <si>
    <t xml:space="preserve">Detalhes completos na oferta, confirmar elegibilidade, idioma e prazo.</t>
  </si>
  <si>
    <t xml:space="preserve">https://ardian.wd103.myworkdayjobs.com/en-US/ArdianCareers/job/Paris/Private-Equity-Buyout-Stage---Mars-2027-I-Paris--M-F-_JR1002149</t>
  </si>
  <si>
    <t xml:space="preserve">Private Equity Semiconductor Buyout Stage, Mars 2027</t>
  </si>
  <si>
    <t xml:space="preserve">https://ardian.wd103.myworkdayjobs.com/en-US/ArdianCareers/job/Paris/Private-Equity-Semiconductor-Stage---Mars-2027-I-Paris--H-F-_JR1002229</t>
  </si>
  <si>
    <t xml:space="preserve">Private Equity Growth Stage, Mars 2027</t>
  </si>
  <si>
    <t xml:space="preserve">https://ardian.wd103.myworkdayjobs.com/en-US/ArdianCareers/job/Paris/Private-Equity-Growth-Stage---Mars-2027---Paris--M-F-_JR1002113</t>
  </si>
  <si>
    <t xml:space="preserve">Private Equity Expansion Stage, Mars 2027</t>
  </si>
  <si>
    <t xml:space="preserve">https://ardian.wd103.myworkdayjobs.com/en-US/ArdianCareers/job/Paris/Private-Equity-Expansion-Stage---Mars-2027---Paris--H-F-_JR1002080-1</t>
  </si>
  <si>
    <t xml:space="preserve">Private Equity Real Estate Stage, Mars 2027</t>
  </si>
  <si>
    <t xml:space="preserve">https://ardian.wd103.myworkdayjobs.com/en-US/ArdianCareers/job/Paris/Private-Equity-Real-Estate-Stage---Mars-2027-I-Paris--M-F-_JR1002144</t>
  </si>
  <si>
    <t xml:space="preserve">Private Equity Infrastructure Stage, Janvier 2027</t>
  </si>
  <si>
    <t xml:space="preserve">Estágio na equipa de infraestruturas de um fundo: análise de projetos, modelação e apoio a due diligence. Descrição típica, confirmar na oferta.</t>
  </si>
  <si>
    <t xml:space="preserve">Não obtidos da oferta; tipicamente modelação financeira e inglês fluente.</t>
  </si>
  <si>
    <t xml:space="preserve">https://www.jobteaser.com/en/job-offers/854a8b76-d6c3-4237-979e-98c5164b7ddc-ardian-private-equity-infrastructure-stage-janvier-2027-paris-h-f</t>
  </si>
  <si>
    <t xml:space="preserve">Fund Finance, Secondaries &amp; Primaries Stage, Janvier 2027</t>
  </si>
  <si>
    <t xml:space="preserve">Fund finance / operações</t>
  </si>
  <si>
    <t xml:space="preserve">Estágio em finanças de fundos / operações de fundos: reporting, controlo e apoio a equipas de investimento. Descrição típica, confirmar na oferta.</t>
  </si>
  <si>
    <t xml:space="preserve">Não obtidos da oferta; tipicamente finanças/contabilidade e Excel.</t>
  </si>
  <si>
    <t xml:space="preserve">https://ardian.wd103.myworkdayjobs.com/en-US/ArdianCareers/job/Paris/Fund-Finance-Secondaries---Primaries-Stage---Janvier-2027---Paris--M-F-_JR1002110</t>
  </si>
  <si>
    <t xml:space="preserve">Investor Relations France, Fundraising &amp; Sales Stage, Janvier 2027</t>
  </si>
  <si>
    <t xml:space="preserve">Investor Relations (PE)</t>
  </si>
  <si>
    <t xml:space="preserve">Estágio em relações com investidores / fundraising: materiais para LPs, apoio a roadshows e CRM. Descrição típica, confirmar na oferta.</t>
  </si>
  <si>
    <t xml:space="preserve">Não obtidos da oferta; tipicamente comunicação forte e interesse por PE.</t>
  </si>
  <si>
    <t xml:space="preserve">https://www.jobteaser.com/en/job-offers/8bb69a75-b413-4ebd-aeb8-31c81c8bf237-ardian-private-equity-investor-relations-france-fundraising-sales-stage-janvier-2027-paris-h-f</t>
  </si>
  <si>
    <t xml:space="preserve">Investor Relations, Client Solutions Stage, Janvier 2027</t>
  </si>
  <si>
    <t xml:space="preserve">https://www.jobteaser.com/en/job-offers/f5c868da-0273-42dd-9f74-ae9408f34c59-ardian-investor-relations-client-solution-stage-janvier-2027-i-paris-h-f</t>
  </si>
  <si>
    <t xml:space="preserve">Fund Finance, Secondaries &amp; Primaries Intern, February 2027</t>
  </si>
  <si>
    <t xml:space="preserve">Zurique</t>
  </si>
  <si>
    <t xml:space="preserve">Inglês (ver oferta)</t>
  </si>
  <si>
    <t xml:space="preserve">Língua-chave DE (exigência 0.3); experiência prévia em finanças valorizada, CV tem pouca; exige mestrado em curso ou convenção de estágio, risco.</t>
  </si>
  <si>
    <t xml:space="preserve">https://ardian.wd103.myworkdayjobs.com/en-US/ArdianCareers/job/Zurich/Fund-Finance-Secondaries---Primaries-Intern---February-2027-I-Zurich--M-F-_JR1002246</t>
  </si>
  <si>
    <t xml:space="preserve">Investor Relations Intern, January 2027</t>
  </si>
  <si>
    <t xml:space="preserve">https://ardian.wd103.myworkdayjobs.com/ArdianCareers/job/Zurich/Investor-Relations-Intern---January-2027-I-Zurich_JR1002219</t>
  </si>
  <si>
    <t xml:space="preserve">Corporate Finance Intern, January 2027</t>
  </si>
  <si>
    <t xml:space="preserve">Corporate Finance / M&amp;A</t>
  </si>
  <si>
    <t xml:space="preserve">Estágio em corporate finance / M&amp;A: avaliação, modelos, materiais de transação e apoio a clientes. Descrição típica, confirmar na oferta.</t>
  </si>
  <si>
    <t xml:space="preserve">Não obtidos da oferta; tipicamente estágio prévio em M&amp;A e forte análise quantitativa.</t>
  </si>
  <si>
    <t xml:space="preserve">https://ardian.wd103.myworkdayjobs.com/en-US/ArdianCareers/job/Luxembourg/Corporate-Finance-Intern---January-2027-I-Luxembourg--M-F-_JR1002199</t>
  </si>
  <si>
    <t xml:space="preserve">Infrastructure Intern, January 2027 (Londres)</t>
  </si>
  <si>
    <t xml:space="preserve">https://ardian.wd103.myworkdayjobs.com/ArdianCareers/job/London/Infrastructure-Intern---January-2027---London_JR1002078</t>
  </si>
  <si>
    <t xml:space="preserve">Expansion Intern, January 2027 (Milão)</t>
  </si>
  <si>
    <t xml:space="preserve">Milão</t>
  </si>
  <si>
    <t xml:space="preserve">Italiano e inglês (ver oferta)</t>
  </si>
  <si>
    <t xml:space="preserve">IT</t>
  </si>
  <si>
    <t xml:space="preserve">Língua-chave IT (exigência 0.5); experiência prévia em finanças valorizada, CV tem pouca; exige mestrado em curso ou convenção de estágio, risco.</t>
  </si>
  <si>
    <t xml:space="preserve">https://ardian.wd103.myworkdayjobs.com/en-US/ArdianCareers/job/Milan/Expansion-Intern---January-2027I-Milan--M-F-_JR1002270</t>
  </si>
  <si>
    <t xml:space="preserve">Real Estate Private Equity Intern, Nov 2026/Q1 2027 (Frankfurt)</t>
  </si>
  <si>
    <t xml:space="preserve">Nov 2026, Q1 2027</t>
  </si>
  <si>
    <t xml:space="preserve">Língua-chave DE (exigência 0.4); experiência prévia em finanças valorizada, CV tem pouca; exige mestrado em curso ou convenção de estágio, risco.</t>
  </si>
  <si>
    <t xml:space="preserve">https://ardian.wd103.myworkdayjobs.com/en-US/ArdianCareers/job/Frankfurt/Real-Estate-Private-Equity-Intern---November-2026---Q1-2027----Frankfurt--M-F-_JR1002217</t>
  </si>
  <si>
    <t xml:space="preserve">Infrastructure Private Equity Analyst Internship, H1 2027 (Frankfurt)</t>
  </si>
  <si>
    <t xml:space="preserve">H1 2027</t>
  </si>
  <si>
    <t xml:space="preserve">https://www.jobteaser.com/da/job-offers/75296cde-7907-4adb-8903-a4a42ef08e4b-ardian-infrastructure-private-equity-analyst-internship-h1-2027-frankfurt-m-f</t>
  </si>
  <si>
    <t xml:space="preserve">Lazard</t>
  </si>
  <si>
    <t xml:space="preserve">Internship, Private Capital Advisory (PCA) Secondaries, January 2027</t>
  </si>
  <si>
    <t xml:space="preserve">Advisory (reestruturação/dívida)</t>
  </si>
  <si>
    <t xml:space="preserve">Estágio em advisory (reestruturação / dívida / soberanos): análise financeira, materiais de cliente e apoio a mandatos. Descrição típica, confirmar na oferta.</t>
  </si>
  <si>
    <t xml:space="preserve">Não obtidos da oferta; tipicamente análise financeira e inglês fluente.</t>
  </si>
  <si>
    <t xml:space="preserve">Língua-chave FR (exigência 0.8); pede experiência prévia em IB/PE/consultoria, o CV mostrado não tem; exige mestrado em curso ou convenção de estágio, risco.</t>
  </si>
  <si>
    <t xml:space="preserve">https://icbpjb.fa.ocs.oraclecloud.com/hcmUI/CandidateExperience/en/sites/CX_2/job/6533</t>
  </si>
  <si>
    <t xml:space="preserve">Stage H/F, Private Equity, Janvier 2027</t>
  </si>
  <si>
    <t xml:space="preserve">Descrição completa não visível na página; título confirma janeiro 2027.</t>
  </si>
  <si>
    <t xml:space="preserve">https://icbpjb.fa.ocs.oraclecloud.com/hcmUI/CandidateExperience/en/sites/CX_2/job/6317</t>
  </si>
  <si>
    <t xml:space="preserve">Financial Advisory Off-Cycle Internship 2027</t>
  </si>
  <si>
    <t xml:space="preserve">Estágio off-cycle em investment banking (M&amp;A/coverage): modelos financeiros, valuation, pitchbooks e apoio à execução de transações. Descrição típica do programa, confirmar na oferta.</t>
  </si>
  <si>
    <t xml:space="preserve">Não obtidos da oferta. Programas deste tipo pedem tipicamente excelente registo académico, Excel/PowerPoint avançados e frequentemente estágio prévio em finanças.</t>
  </si>
  <si>
    <t xml:space="preserve">https://www.brightnetwork.co.uk/graduate-jobs/lazard/financial-advisory-off-cycle-internship-2027</t>
  </si>
  <si>
    <t xml:space="preserve">Stage Private Equity Banque Privée, Janvier 2027</t>
  </si>
  <si>
    <t xml:space="preserve">https://rothschildandco.wd3.myworkdayjobs.com/en-US/Rothschildandco_Lateral/job/Paris/Stage-Private-Equity-Banque-Prive---Janvier-2027_JR016390</t>
  </si>
  <si>
    <t xml:space="preserve">Stage Mandat Private Equity Banque Privée, Janvier 2027</t>
  </si>
  <si>
    <t xml:space="preserve">https://rothschildandco.wd3.myworkdayjobs.com/en-US/Rothschildandco_Lateral/job/Paris/Stage-Mandat-Private-Equity-Banque-Prive---Janvier-2027_JR016385</t>
  </si>
  <si>
    <t xml:space="preserve">Stage Analyste Private Equity Secondaire (FASO), Janvier/Mars 2027</t>
  </si>
  <si>
    <t xml:space="preserve">Localização por confirmar (anúncio em francês, provável Paris).</t>
  </si>
  <si>
    <t xml:space="preserve">https://rothschildandco.tal.net/vx/lang-en-GB/mobile-0/appcentre-1/brand-4/candidate/so/pm/1/pl/2/opp/974-Stage-d-Analyste-en-Private-Equity-Secondaire-FASO-Janvier-Mars-2027/en-GB</t>
  </si>
  <si>
    <t xml:space="preserve">Long Term Internship, Sovereign Advisory, Janvier/Mars 2027</t>
  </si>
  <si>
    <t xml:space="preserve">https://www.rothschildandco.com/en/careers/students-and-graduates/opportunities/ga-long-term-internship-sovereign-advisory-janviermars-2027/</t>
  </si>
  <si>
    <t xml:space="preserve">Stage Infrastructure Debt Advisory, Global Advisory, Janvier 2027</t>
  </si>
  <si>
    <t xml:space="preserve">https://www.rothschildandco.com/en/careers/students-and-graduates/opportunities/ga-stage-infrastructure-debt-advisory-global-advisory-janvier-2027/</t>
  </si>
  <si>
    <t xml:space="preserve">Germany Frankfurt, Global Markets Solutions, January Internship 2027</t>
  </si>
  <si>
    <t xml:space="preserve">Capital Markets</t>
  </si>
  <si>
    <t xml:space="preserve">Estágio em capital markets (DCM/ECM/leveraged finance): execução de emissões, análise de mercado e materiais para clientes. Descrição típica, confirmar na oferta.</t>
  </si>
  <si>
    <t xml:space="preserve">Não obtidos da oferta; tipicamente excelente registo académico e Excel.</t>
  </si>
  <si>
    <t xml:space="preserve">Alemão e inglês (ver oferta)</t>
  </si>
  <si>
    <t xml:space="preserve">https://www.rothschildandco.com/en/careers/students-and-graduates/opportunities/germany-frankfurt-global-markets-solutions-january-internship-2027/</t>
  </si>
  <si>
    <t xml:space="preserve">2027 UK Global Advisory Off-Cycle Internship</t>
  </si>
  <si>
    <t xml:space="preserve">https://www.rothschildandco.com/en/careers/students-and-graduates/opportunities/2027-uk-global-advisory-off-cycle-internship/</t>
  </si>
  <si>
    <t xml:space="preserve">Global Advisory Internship, Poland 2027</t>
  </si>
  <si>
    <t xml:space="preserve">Varsóvia</t>
  </si>
  <si>
    <t xml:space="preserve">Língua-chave EN (exigência 0.5); experiência prévia em finanças valorizada, CV tem pouca; exige mestrado em curso ou convenção de estágio, risco.</t>
  </si>
  <si>
    <t xml:space="preserve">Polaco provavelmente valorizado.</t>
  </si>
  <si>
    <t xml:space="preserve">https://www.rothschildandco.com/en/careers/students-and-graduates/opportunities/global-advisory-internship-poland-2027/</t>
  </si>
  <si>
    <t xml:space="preserve">Administrative &amp; Finance Intern, Five Arrows (Luxemburgo), Março 2027</t>
  </si>
  <si>
    <t xml:space="preserve">https://www.rothschildandco.com/en/careers/experienced-professionals/vacancies/administrative--finance-intern--five-arrows---luxembourg--march-2027/</t>
  </si>
  <si>
    <t xml:space="preserve">Stage Fund Controlling (6 meses), Janvier 2027 (Luxemburgo)</t>
  </si>
  <si>
    <t xml:space="preserve">Contabilidade de fundos</t>
  </si>
  <si>
    <t xml:space="preserve">Estágio em contabilidade, reporting e controlo de fundos. Descrição típica, confirmar na oferta.</t>
  </si>
  <si>
    <t xml:space="preserve">Não obtidos da oferta; tipicamente contabilidade/finanças e Excel.</t>
  </si>
  <si>
    <t xml:space="preserve">Língua-chave FR (exigência 0.7); experiência prévia em finanças valorizada, CV tem pouca; exige mestrado em curso ou convenção de estágio, risco.</t>
  </si>
  <si>
    <t xml:space="preserve">Dezenas de anúncios iguais no agregador; link de um deles.</t>
  </si>
  <si>
    <t xml:space="preserve">https://www.efinancialcareers.com/jobs-Luxembourg-Luxembourg-Stage_Fund_Controlling_Luxembourg_-_Janvier_2027_Internship_-_6_months.id24844426</t>
  </si>
  <si>
    <t xml:space="preserve">Stage Comptabilité et Reporting (6 meses), Janvier 2027 (Luxemburgo)</t>
  </si>
  <si>
    <t xml:space="preserve">https://www.rothschildandco.com/en/careers/experienced-professionals/vacancies/stage-comptabilite-et-reporting-luxembourg--janvier-2027-internship--6-months/</t>
  </si>
  <si>
    <t xml:space="preserve">Revaia</t>
  </si>
  <si>
    <t xml:space="preserve">Private Equity Investment Intern, Technology (6 meses desde janeiro 2027)</t>
  </si>
  <si>
    <t xml:space="preserve">Pesquisa setorial, apoio a deals (análise financeira, modelação, memos de IC), apoio a fundraising e a fundadores de participadas.</t>
  </si>
  <si>
    <t xml:space="preserve">Disponibilidade a tempo inteiro 6 meses; pelo menos 1 estágio prévio em finanças (VC/PE/M&amp;A) ou consultoria; mentalidade empreendedora; direito a trabalhar no Reino Unido (sem visto).</t>
  </si>
  <si>
    <t xml:space="preserve">Inglês profissional</t>
  </si>
  <si>
    <t xml:space="preserve">Não indica; exige estágio prévio</t>
  </si>
  <si>
    <t xml:space="preserve">Língua-chave EN (exigência 1); pede experiência prévia em IB/PE/consultoria, o CV mostrado não tem; exige mestrado em curso ou convenção de estágio, risco.</t>
  </si>
  <si>
    <t xml:space="preserve">Sem visto, precisas de direito a trabalhar no Reino Unido.</t>
  </si>
  <si>
    <t xml:space="preserve">https://jobs.smartrecruiters.com/revaia/735da8ff-e5a9-4ea8-9d48-b8e156aba2b6</t>
  </si>
  <si>
    <t xml:space="preserve">Finance &amp; Operations Intern, Growth Equity Fund (6 meses desde janeiro 2027)</t>
  </si>
  <si>
    <t xml:space="preserve">https://jobs.smartrecruiters.com/revaia/31f3abd4-7f54-4eb0-a4e6-74b44df3c2dc</t>
  </si>
  <si>
    <t xml:space="preserve">The Riverside Company</t>
  </si>
  <si>
    <t xml:space="preserve">2027 Private Equity Intern (January), Riverside Europe</t>
  </si>
  <si>
    <t xml:space="preserve">Bruxelas</t>
  </si>
  <si>
    <t xml:space="preserve">A página só mostra o formulário de candidatura; descrição completa no site da Riverside.</t>
  </si>
  <si>
    <t xml:space="preserve">https://job-boards.greenhouse.io/theriversidecompany/jobs/8622619002</t>
  </si>
  <si>
    <t xml:space="preserve">PAI Partners</t>
  </si>
  <si>
    <t xml:space="preserve">ESG internship Paris (6 meses desde janeiro 2027)</t>
  </si>
  <si>
    <t xml:space="preserve">ESG (gestora)</t>
  </si>
  <si>
    <t xml:space="preserve">Estágio em ESG / sustentabilidade num gestor de investimentos: recolha e análise de dados ESG de participadas. Descrição típica, confirmar na oferta.</t>
  </si>
  <si>
    <t xml:space="preserve">Não obtidos da oferta; tipicamente análise de dados e interesse por sustentabilidade.</t>
  </si>
  <si>
    <t xml:space="preserve">Língua-chave EN (exigência 0.6); experiência prévia em finanças valorizada, CV tem pouca; exige mestrado em curso ou convenção de estágio, risco.</t>
  </si>
  <si>
    <t xml:space="preserve">https://careers.paipartners.com/o/esg-internship-paris-6-months-starting-january-2027</t>
  </si>
  <si>
    <t xml:space="preserve">Paris Investment Group internship (6 meses, início março 2027)</t>
  </si>
  <si>
    <t xml:space="preserve">Língua-chave EN (exigência 0.7); pede experiência prévia em IB/PE/consultoria, o CV mostrado não tem; exige mestrado em curso ou convenção de estágio, risco.</t>
  </si>
  <si>
    <t xml:space="preserve">https://careers.paipartners.com/o/paris-investment-group-internship-6-months-start-in-mar-2027</t>
  </si>
  <si>
    <t xml:space="preserve">London Investment Group internship (6 meses, H1 2027)</t>
  </si>
  <si>
    <t xml:space="preserve">H1 2027 (indicar disponibilidade)</t>
  </si>
  <si>
    <t xml:space="preserve">Analisar oportunidades de investimento, participar em transações ao vivo e monitorizar a carteira, com a equipa de investimento de Londres.</t>
  </si>
  <si>
    <t xml:space="preserve">Idealmente 6 meses de experiência em M&amp;A, consultoria estratégica ou PE; registo académico forte; a candidatura pergunta se tens ≥4 meses consecutivos dessa experiência.</t>
  </si>
  <si>
    <t xml:space="preserve">Pede experiência prévia, o teu CV não tem.</t>
  </si>
  <si>
    <t xml:space="preserve">https://careers.paipartners.com/o/london-investment-group-internship-6-months-h1-27</t>
  </si>
  <si>
    <t xml:space="preserve">DealCloud internship (6 meses, Londres)</t>
  </si>
  <si>
    <t xml:space="preserve">PE (dados / CRM)</t>
  </si>
  <si>
    <t xml:space="preserve">https://careers.paipartners.com/o/dealcloud-internship-london-6-months</t>
  </si>
  <si>
    <t xml:space="preserve">ESG internship (6 meses, Londres)</t>
  </si>
  <si>
    <t xml:space="preserve">https://careers.paipartners.com/o/esg-internship-london-6-months</t>
  </si>
  <si>
    <t xml:space="preserve">Partners Group</t>
  </si>
  <si>
    <t xml:space="preserve">6-month Internship, Private Equity Directs, Services</t>
  </si>
  <si>
    <t xml:space="preserve">Baar</t>
  </si>
  <si>
    <t xml:space="preserve">Por confirmar (6 meses)</t>
  </si>
  <si>
    <t xml:space="preserve">https://jobs.partnersgroup.com/job/Baar-6-month-Internship-Private-Equity-Directs%2C-Services/1445897233/</t>
  </si>
  <si>
    <t xml:space="preserve">Waterland Private Equity</t>
  </si>
  <si>
    <t xml:space="preserve">Praktikant 3+3, Investment &amp; Performance Improvement Team (PIT)</t>
  </si>
  <si>
    <t xml:space="preserve">Por confirmar (3+3 meses)</t>
  </si>
  <si>
    <t xml:space="preserve">3+3 meses</t>
  </si>
  <si>
    <t xml:space="preserve">https://www.waterlandpe.com/es/career/3-3-private-equity-internship/</t>
  </si>
  <si>
    <t xml:space="preserve">LGT Capital Partners</t>
  </si>
  <si>
    <t xml:space="preserve">Private Equity Off-Cycle Internship, Direct Co-investment Team</t>
  </si>
  <si>
    <t xml:space="preserve">Pfäffikon</t>
  </si>
  <si>
    <t xml:space="preserve">Língua-chave DE (exigência 0.3); pede experiência prévia em IB/PE/consultoria, o CV mostrado não tem; exige mestrado em curso ou convenção de estágio, risco.</t>
  </si>
  <si>
    <t xml:space="preserve">Prazo visto num agregador: 30-09-2026 (pode ter passado), confirmar.</t>
  </si>
  <si>
    <t xml:space="preserve">https://jobup.ch/en/jobs/detail/c275324e-e396-44d9-a991-619e609f3260</t>
  </si>
  <si>
    <t xml:space="preserve">Private Equity Off-Cycle Internship, Investment Team, Capital Partnerships</t>
  </si>
  <si>
    <t xml:space="preserve">https://builtinlondon.uk/job/private-equity-cycle-internship-investment-team-capital-partnerships/11450488</t>
  </si>
  <si>
    <t xml:space="preserve">Private Equity Off-Cycle Internship, Investment Team, Capital Solutions</t>
  </si>
  <si>
    <t xml:space="preserve">https://builtinlondon.uk/job/private-equity-cycle-internship-investment-team-capital-solutions/11450468</t>
  </si>
  <si>
    <t xml:space="preserve">Apollo Global Management</t>
  </si>
  <si>
    <t xml:space="preserve">Off-Cycle Internship, Private Equity &amp; Credit</t>
  </si>
  <si>
    <t xml:space="preserve">https://www.studentjob.co.uk/vacancies/6900059-london-private-equity-off-cycle-internship</t>
  </si>
  <si>
    <t xml:space="preserve">2027 Strategic Partners Off Cycle Intern (Londres)</t>
  </si>
  <si>
    <t xml:space="preserve">Mesmo programa/critérios do off-cycle de PE da Blackstone: graduação prevista em 2026/2027 encaixa.</t>
  </si>
  <si>
    <t xml:space="preserve">https://blackstone.wd1.myworkdayjobs.com/Blackstone_Campus_Careers/job/London/XMLNAME-2027-Blackstone-Strategic-Partners-Off-Cycle-Intern--London-_45297</t>
  </si>
  <si>
    <t xml:space="preserve">Tikehau Capital</t>
  </si>
  <si>
    <t xml:space="preserve">Internship, Private Equity (Londres)</t>
  </si>
  <si>
    <t xml:space="preserve">https://tikehau-capital-career.talentview.io/jobs/ejtlql</t>
  </si>
  <si>
    <t xml:space="preserve">Internship, ESG Analyst for Private Equity (Paris)</t>
  </si>
  <si>
    <t xml:space="preserve">https://tikehau-capital-career.talentview.io/jobs/fnm2v5</t>
  </si>
  <si>
    <t xml:space="preserve">Internship, Private Equity (Paris), Jan ou Mar 2027</t>
  </si>
  <si>
    <t xml:space="preserve">https://tikehau-capital-career.talentview.io/jobs/mwd8g3</t>
  </si>
  <si>
    <t xml:space="preserve">Internship, Financial Analyst (Paris), Mar 2027</t>
  </si>
  <si>
    <t xml:space="preserve">Estágio em gestão de ativos / investimentos alternativos: análise de investimentos, apoio à equipa e reporting. Descrição típica, confirmar na oferta.</t>
  </si>
  <si>
    <t xml:space="preserve">Não obtidos da oferta; tipicamente registo académico forte, Excel e interesse por mercados.</t>
  </si>
  <si>
    <t xml:space="preserve">https://tikehau-capital-career.talentview.io/jobs/mqnxyn</t>
  </si>
  <si>
    <t xml:space="preserve">Internship, Private Debt Milan, January 2027</t>
  </si>
  <si>
    <t xml:space="preserve">Estágio em dívida privada: análise de crédito, estruturação, memos e acompanhamento de carteira. Descrição típica, confirmar na oferta.</t>
  </si>
  <si>
    <t xml:space="preserve">Não obtidos da oferta; tipicamente análise financeira e modelação.</t>
  </si>
  <si>
    <t xml:space="preserve">Língua-chave IT (exigência 0.6); experiência prévia em finanças valorizada, CV tem pouca; exige mestrado em curso ou convenção de estágio, risco.</t>
  </si>
  <si>
    <t xml:space="preserve">https://tikehau-capital-career.talentview.io/jobs/vnedod</t>
  </si>
  <si>
    <t xml:space="preserve">Private Equity Internship Mid-Cap (Frankfurt), January 2027</t>
  </si>
  <si>
    <t xml:space="preserve">https://astorg.pinpointhq.com/en/postings/586c176e-88f8-43e2-9caf-fcb5deeb14aa</t>
  </si>
  <si>
    <t xml:space="preserve">PGIM Private Capital</t>
  </si>
  <si>
    <t xml:space="preserve">Intern, Real Estate Private Equity Portfolio Management (Q1 2027, Frankfurt)</t>
  </si>
  <si>
    <t xml:space="preserve">https://pru.wd5.myworkdayjobs.com/PGIM_Careers/job/Frankfurt-Germany/PGIM---Intern--Real-Estate-Private-Equity-Portfolio-Management--all-genders--as-of-Q1-2027--Based-in-Frankfurt_R-125016-1</t>
  </si>
  <si>
    <t xml:space="preserve">Off-Cycle Analyst Intern (Amesterdão)</t>
  </si>
  <si>
    <t xml:space="preserve">Amesterdão</t>
  </si>
  <si>
    <t xml:space="preserve">Neerlandês e inglês (ver oferta)</t>
  </si>
  <si>
    <t xml:space="preserve">NL</t>
  </si>
  <si>
    <t xml:space="preserve">Língua-chave NL (exigência 0.6); pede experiência prévia em IB/PE/consultoria, o CV mostrado não tem; exige mestrado em curso ou convenção de estágio, risco.</t>
  </si>
  <si>
    <t xml:space="preserve">https://ikpartners.recruitee.com/o/off-cycle-analyst-intern-amsterdam</t>
  </si>
  <si>
    <t xml:space="preserve">INDEFI Group</t>
  </si>
  <si>
    <t xml:space="preserve">Strategy Consultant Internship, Private Equity, Janvier 2027</t>
  </si>
  <si>
    <t xml:space="preserve">https://www.efinancialcareers.com/jobs-France-Paris-Strategy_Consultant_Internship_-_Private_Equity_-_Paris_-_FH_January_2027.id24426793</t>
  </si>
  <si>
    <t xml:space="preserve">Oddo BHF</t>
  </si>
  <si>
    <t xml:space="preserve">Stage Corporate Development / M&amp;A, Janvier 2027</t>
  </si>
  <si>
    <t xml:space="preserve">Língua-chave FR (exigência 0.9); experiência prévia em finanças valorizada, CV tem pouca; exige mestrado em curso ou convenção de estágio, risco.</t>
  </si>
  <si>
    <t xml:space="preserve">https://www.jobteaser.com/en/job-offers/ffd3a556-3ca5-467f-a011-3472bbae11af-oddo-bhf-stage-corporate-development-m-a-janvier-2027</t>
  </si>
  <si>
    <t xml:space="preserve">Barclays</t>
  </si>
  <si>
    <t xml:space="preserve">Capital Markets Off-Cycle Internship Programme 2027 (Frankfurt)</t>
  </si>
  <si>
    <t xml:space="preserve">https://barclays.wd3.myworkdayjobs.com/External_Career_Site_Barclays/job/Frankfurt-Taunus-Turm/Capital-Markets-Off-Cycle-Internship-Programme-2027-Frankfurt_JR-0000124472-1</t>
  </si>
  <si>
    <t xml:space="preserve">Capital Markets Off-Cycle Internship Programme 2027 (Milão)</t>
  </si>
  <si>
    <t xml:space="preserve">https://barclays.wd3.myworkdayjobs.com/External_Career_Site_Barclays/job/The-Medelan-Building-Milan/Capital-Markets-Off-Cycle-Internship-Programme-2027-Milan_JR-0000124900</t>
  </si>
  <si>
    <t xml:space="preserve">Capital Markets Off-Cycle Internship Programme 2027 (Paris)</t>
  </si>
  <si>
    <t xml:space="preserve">https://barclays.wd3.myworkdayjobs.com/External_Career_Site_Barclays/job/Paris-Origami/Capital-Markets-Off-Cycle-Internship-Programme-2027-Paris_JR-0000124479</t>
  </si>
  <si>
    <t xml:space="preserve">Capital Markets Off-Cycle Internship Programme 2027 (Estocolmo)</t>
  </si>
  <si>
    <t xml:space="preserve">https://barclays.wd3.myworkdayjobs.com/External_Career_Site_Barclays/job/Stockholm-Katthavet/Capital-Markets-Off-Cycle-Internship-Programme-2027-Stockholm_JR-0000124627</t>
  </si>
  <si>
    <t xml:space="preserve">Banking Off-Cycle Internship Programme 2027 (Paris)</t>
  </si>
  <si>
    <t xml:space="preserve">https://barclays.wd3.myworkdayjobs.com/External_Career_Site_Barclays/job/Paris-52-avenue-Hoche/Banking-Off-Cycle-Internship-Programme-2027-Paris_JR-0000124856</t>
  </si>
  <si>
    <t xml:space="preserve">Banking Off-Cycle Internship Programme 2027 (Frankfurt)</t>
  </si>
  <si>
    <t xml:space="preserve">https://barclays.wd3.myworkdayjobs.com/External_Career_Site_Barclays/job/Frankfurt-Taunus-Turm/Banking-Off-Cycle-Internship-Programme-2027-Frankfurt_JR-0000124702-1</t>
  </si>
  <si>
    <t xml:space="preserve">Banking Off-Cycle Internship Programme 2027 (Amesterdão)</t>
  </si>
  <si>
    <t xml:space="preserve">Língua-chave NL (exigência 0.4); experiência prévia em finanças valorizada, CV tem pouca; exige mestrado em curso ou convenção de estágio, risco.</t>
  </si>
  <si>
    <t xml:space="preserve">https://barclays.wd3.myworkdayjobs.com/External_Career_Site_Barclays/job/Amsterdam-SOM-Building/Banking-Off-Cycle-Internship-Programme-2027-Amsterdam_JR-0000124409</t>
  </si>
  <si>
    <t xml:space="preserve">International Corporate Banking Off-Cycle Internship 2027 (Frankfurt)</t>
  </si>
  <si>
    <t xml:space="preserve">Banca corporativa</t>
  </si>
  <si>
    <t xml:space="preserve">Estágio em banca corporativa: análise de crédito a empresas, apoio à relação com clientes e produtos de financiamento. Descrição típica, confirmar na oferta.</t>
  </si>
  <si>
    <t xml:space="preserve">Não obtidos da oferta; tipicamente finanças/economia e inglês fluente.</t>
  </si>
  <si>
    <t xml:space="preserve">https://barclays.wd3.myworkdayjobs.com/External_Career_Site_Barclays/job/Frankfurt-Taunus-Turm/International-Corporate-Banking-Off-Cycle-Internship-Programme-2027-Frankfurt_JR-0000124063-1</t>
  </si>
  <si>
    <t xml:space="preserve">Quantitative Analytics Associate Off-Cycle Internship 2027 (Paris)</t>
  </si>
  <si>
    <t xml:space="preserve">Quant / Strats</t>
  </si>
  <si>
    <t xml:space="preserve">Estágio quantitativo (strats/quant analytics): modelação matemática, Python e apoio a trading/risco. Descrição típica, confirmar na oferta.</t>
  </si>
  <si>
    <t xml:space="preserve">Não obtidos da oferta; tipicamente forte matemática/estatística e programação (Python).</t>
  </si>
  <si>
    <t xml:space="preserve">Língua-chave FR (exigência 0.5); pede experiência prévia em IB/PE/consultoria, o CV mostrado não tem; exige mestrado em curso ou convenção de estágio, risco.</t>
  </si>
  <si>
    <t xml:space="preserve">https://barclays.wd3.myworkdayjobs.com/External_Career_Site_Barclays/job/Paris-52-avenue-Hoche/Quantitative-Analytics-Associate-Off-Cycle-Internship-Programme-2027-Paris_JR-0000124726</t>
  </si>
  <si>
    <t xml:space="preserve">Evercore</t>
  </si>
  <si>
    <t xml:space="preserve">Off-Cycle Analyst Internship, Advisory (Londres)</t>
  </si>
  <si>
    <t xml:space="preserve">Link geral de carreiras Evercore, escolhe a vaga 'Off-Cycle Analyst' de Londres.</t>
  </si>
  <si>
    <t xml:space="preserve">https://www.evercore.com/careers/students-graduates/</t>
  </si>
  <si>
    <t xml:space="preserve">Madrid Off-Cycle Internship, Jan-Jun 2027</t>
  </si>
  <si>
    <t xml:space="preserve">Espanhol e inglês (ver oferta)</t>
  </si>
  <si>
    <t xml:space="preserve">Língua-chave ES (exigência 0.8); experiência prévia em finanças valorizada, CV tem pouca; exige mestrado em curso ou convenção de estágio, risco.</t>
  </si>
  <si>
    <t xml:space="preserve">https://evercore.tal.net/vx/lang-en-GB/mobile-0/channel-1/appcentre-1/brand-6/candidate/so/pm/1/pl/2/opp/3084-Madrid-Off-Cycle-Internship-Jan-June-2027/en-GB</t>
  </si>
  <si>
    <t xml:space="preserve">Milan Off-Cycle Internship, Generalist Team, Jan-Jun 2027</t>
  </si>
  <si>
    <t xml:space="preserve">https://evercore.tal.net/vx/lang-en-GB/mobile-0/channel-1/appcentre-1/brand-6/candidate/so/pm/1/pl/2/opp/3293-Milan-Off-Cycle-Internship-Generalist-Team-January-June-2027/en-GB</t>
  </si>
  <si>
    <t xml:space="preserve">2027 Asset Management, Private Investing, Private Equity, Seasonal/Off-Cycle</t>
  </si>
  <si>
    <t xml:space="preserve">https://higher.gs.com/roles/174854_GS_CAMPUS</t>
  </si>
  <si>
    <t xml:space="preserve">2027 Asset Management, Private Credit, Seasonal/Off-Cycle</t>
  </si>
  <si>
    <t xml:space="preserve">https://higher.gs.com/roles/166820_GS_CAMPUS</t>
  </si>
  <si>
    <t xml:space="preserve">2027 Asset Management, Real Estate, Alternatives Investing, Seasonal/Off-Cycle</t>
  </si>
  <si>
    <t xml:space="preserve">https://higher.gs.com/roles/165357_GS_CAMPUS</t>
  </si>
  <si>
    <t xml:space="preserve">2027 Asset Management, Infrastructure Private Equity, Seasonal/Off-Cycle</t>
  </si>
  <si>
    <t xml:space="preserve">https://higher.gs.com/roles/183954_GS_CAMPUS</t>
  </si>
  <si>
    <t xml:space="preserve">2027 Global Investment Research, Macro Research, Portfolio Strategy, Seasonal/Off-Cycle</t>
  </si>
  <si>
    <t xml:space="preserve">Research</t>
  </si>
  <si>
    <t xml:space="preserve">Estágio em investment research / estratégia de portfólio: análise macro e de mercado. Descrição típica, confirmar na oferta.</t>
  </si>
  <si>
    <t xml:space="preserve">Não obtidos da oferta; tipicamente economia/finanças fortes e capacidade analítica.</t>
  </si>
  <si>
    <t xml:space="preserve">https://higher.gs.com/roles/170877_GS_CAMPUS</t>
  </si>
  <si>
    <t xml:space="preserve">2027 Investment Banking, Capital Solutions Group, Seasonal/Off-Cycle</t>
  </si>
  <si>
    <t xml:space="preserve">https://higher.gs.com/roles/184906_GS_CAMPUS</t>
  </si>
  <si>
    <t xml:space="preserve">Língua-chave IT (exigência 0.6); pede experiência prévia em IB/PE/consultoria, o CV mostrado não tem; exige mestrado em curso ou convenção de estágio, risco.</t>
  </si>
  <si>
    <t xml:space="preserve">https://higher.gs.com/roles/170840_GS_CAMPUS</t>
  </si>
  <si>
    <t xml:space="preserve">2027 Investment Banking, Classic, Seasonal/Off-Cycle</t>
  </si>
  <si>
    <t xml:space="preserve">https://higher.gs.com/roles/170835_GS_CAMPUS</t>
  </si>
  <si>
    <t xml:space="preserve">https://higher.gs.com/roles/170857_GS_CAMPUS</t>
  </si>
  <si>
    <t xml:space="preserve">https://higher.gs.com/roles/170841_GS_CAMPUS</t>
  </si>
  <si>
    <t xml:space="preserve">2027 Investment Banking, Classic, Consumer Retail Group, Seasonal/Off-Cycle</t>
  </si>
  <si>
    <t xml:space="preserve">https://higher.gs.com/roles/170908_GS_CAMPUS</t>
  </si>
  <si>
    <t xml:space="preserve">2027 Investment Banking, Classic, Financial Institutions Group, Seasonal/Off-Cycle</t>
  </si>
  <si>
    <t xml:space="preserve">https://higher.gs.com/roles/170905_GS_CAMPUS</t>
  </si>
  <si>
    <t xml:space="preserve">https://higher.gs.com/roles/170838_GS_CAMPUS</t>
  </si>
  <si>
    <t xml:space="preserve">Língua-chave ES (exigência 0.6); pede experiência prévia em IB/PE/consultoria, o CV mostrado não tem; exige mestrado em curso ou convenção de estágio, risco.</t>
  </si>
  <si>
    <t xml:space="preserve">https://higher.gs.com/roles/170833_GS_CAMPUS</t>
  </si>
  <si>
    <t xml:space="preserve">2027 FICC &amp; Equities Quantitative Strats, Seasonal/Off-Cycle</t>
  </si>
  <si>
    <t xml:space="preserve">https://higher.gs.com/roles/175429_GS_CAMPUS</t>
  </si>
  <si>
    <t xml:space="preserve">2027 The Core Quantitative Strats, Seasonal/Off-Cycle</t>
  </si>
  <si>
    <t xml:space="preserve">https://higher.gs.com/roles/175430_GS_CAMPUS</t>
  </si>
  <si>
    <t xml:space="preserve">6-Month Off-Cycle Internship, Corporate Finance (M&amp;A), Jan/Mar 2027 (Paris)</t>
  </si>
  <si>
    <t xml:space="preserve">Jan ou Mar 2027</t>
  </si>
  <si>
    <t xml:space="preserve">Trabalhar com bankers em mandatos de M&amp;A (equipa setorial: Business Services, Consumer, Healthcare, Industrials ou Technology), preparar materiais de cliente, modelação, valuation e apoio a due diligence.</t>
  </si>
  <si>
    <t xml:space="preserve">Estar a concluir ou ter acabado de concluir licenciatura/mestrado; 6+ meses de estágio prévio em M&amp;A ou área afim; teoria de valuation; forte quantitativo; Excel e PowerPoint.</t>
  </si>
  <si>
    <t xml:space="preserve">Francês e inglês fluentes (obrigatório)</t>
  </si>
  <si>
    <t xml:space="preserve">https://hl.wd1.myworkdayjobs.com/Campus/job/Paris-France/XMLNAME-6-Month-Off-Cycle-Internship---Corporate-Finance--M-A-_R3334</t>
  </si>
  <si>
    <t xml:space="preserve">6-month Internship, Sovereign Advisory, Financial Restructuring (Paris)</t>
  </si>
  <si>
    <t xml:space="preserve">https://hl.wd1.myworkdayjobs.com/Campus/job/Paris-France/XMLNAME-6-month-Internship----Sovereign-Advisory--Financial-Restructuring-Group_R3217-1</t>
  </si>
  <si>
    <t xml:space="preserve">6-Month Off-Cycle Internship, Corporate Finance (Estocolmo)</t>
  </si>
  <si>
    <t xml:space="preserve">Língua-chave EN (exigência 0.7); experiência prévia em finanças valorizada, CV tem pouca; exige mestrado em curso ou convenção de estágio, risco.</t>
  </si>
  <si>
    <t xml:space="preserve">https://hl.wd1.myworkdayjobs.com/Campus/job/Stockholm-Sweden/XMLNAME-6-Month-Off-Cycle-Internship---Corporate-Finance_R3600</t>
  </si>
  <si>
    <t xml:space="preserve">3-Month Off-Cycle Internship, Corporate Finance (Amesterdão)</t>
  </si>
  <si>
    <t xml:space="preserve">3 meses (não 6)</t>
  </si>
  <si>
    <t xml:space="preserve">Língua-chave NL (exigência 0.5); experiência prévia em finanças valorizada, CV tem pouca; exige mestrado em curso ou convenção de estágio, risco.</t>
  </si>
  <si>
    <t xml:space="preserve">https://hl.wd1.myworkdayjobs.com/Campus/job/Amsterdam-Netherlands/XMLNAME-3-Month-Off-Cycle-Internship---Corporate-Finance_R3560</t>
  </si>
  <si>
    <t xml:space="preserve">2027 Corporate Finance Internship, 4-6 meses (Zurique)</t>
  </si>
  <si>
    <t xml:space="preserve">https://hl.wd1.myworkdayjobs.com/Campus/job/Zurich-Switzerland/XMLNAME-2027-Corporate-Finance-Internship--4-6-Months----Zurich_R3626</t>
  </si>
  <si>
    <t xml:space="preserve">Carlsquare</t>
  </si>
  <si>
    <t xml:space="preserve">M&amp;A Internship (m/f/d), January 2027 (Paris)</t>
  </si>
  <si>
    <t xml:space="preserve">https://carlsquare-gmbh.jobs.personio.de/job/2660914</t>
  </si>
  <si>
    <t xml:space="preserve">M&amp;A Internship, Q1 2027 (Londres)</t>
  </si>
  <si>
    <t xml:space="preserve">Localização vinda do agregador, confirmar.</t>
  </si>
  <si>
    <t xml:space="preserve">https://carlsquare-gmbh.jobs.personio.de/job/2827292</t>
  </si>
  <si>
    <t xml:space="preserve">Mizuho</t>
  </si>
  <si>
    <t xml:space="preserve">Off-Cycle Internship, Investment Banking (Londres)</t>
  </si>
  <si>
    <t xml:space="preserve">Link da página do programa de estágios Mizuho EMEA.</t>
  </si>
  <si>
    <t xml:space="preserve">https://www.mizuhogroup.com/emea/careers/investment-banking-careers/internship-programme</t>
  </si>
  <si>
    <t xml:space="preserve">UBS</t>
  </si>
  <si>
    <t xml:space="preserve">Off-Cycle Internship, Asset Management (Londres)</t>
  </si>
  <si>
    <t xml:space="preserve">Link de pesquisa no portal UBS.</t>
  </si>
  <si>
    <t xml:space="preserve">https://jobs.ubs.com/TGnewUI/Search/home/HomeWithPreLoad?partnerid=25008&amp;siteid=5131&amp;PageType=searchResults&amp;keywords=off-cycle%20asset%20management</t>
  </si>
  <si>
    <t xml:space="preserve">https://jobs.ubs.com/TGnewUI/Search/home/HomeWithPreLoad?partnerid=25008&amp;siteid=5131&amp;PageType=searchResults&amp;keywords=off-cycle%20investment%20banking%20london</t>
  </si>
  <si>
    <t xml:space="preserve">Off-Cycle Internship, Investment Banking (Zurique)</t>
  </si>
  <si>
    <t xml:space="preserve">https://jobs.ubs.com/TGnewUI/Search/home/HomeWithPreLoad?partnerid=25008&amp;siteid=5131&amp;PageType=searchResults&amp;keywords=off-cycle%20banking%20zurich</t>
  </si>
  <si>
    <t xml:space="preserve">Wells Fargo</t>
  </si>
  <si>
    <t xml:space="preserve">Off-Cycle Internship, Corporate &amp; Investment Banking (Londres)</t>
  </si>
  <si>
    <t xml:space="preserve">Link geral de early careers.</t>
  </si>
  <si>
    <t xml:space="preserve">https://www.wellsfargojobs.com/en/early-careers/</t>
  </si>
  <si>
    <t xml:space="preserve">Piper Sandler</t>
  </si>
  <si>
    <t xml:space="preserve">Off-Cycle Internship Programme (Londres)</t>
  </si>
  <si>
    <t xml:space="preserve">https://pipersandler.wd501.myworkdayjobs.com/Piper_Sandler_Careers/job/London/Off-Cycle-Internship-Programme_R-100727</t>
  </si>
  <si>
    <t xml:space="preserve">BBVA CIB</t>
  </si>
  <si>
    <t xml:space="preserve">Beca Off-cycle M&amp;A CIB (Madrid)</t>
  </si>
  <si>
    <t xml:space="preserve">Língua-chave ES (exigência 1); experiência prévia em finanças valorizada, CV tem pouca; exige mestrado em curso ou convenção de estágio, risco.</t>
  </si>
  <si>
    <t xml:space="preserve">https://bbva.wd3.myworkdayjobs.com/BBVA/job/28050-MADRID-Madrid/Beca-Off-cycle-M-A-CIB_JR00115430</t>
  </si>
  <si>
    <t xml:space="preserve">Mediobanca</t>
  </si>
  <si>
    <t xml:space="preserve">Spain Off-Cycle Internship, Investment Banking (M&amp;A)</t>
  </si>
  <si>
    <t xml:space="preserve">https://mediobanca.intervieweb.it/jobs/mediobanca-spain-offcycle-internship-investment-banking-ma-2283/en/</t>
  </si>
  <si>
    <t xml:space="preserve">Off-cycle Internship DCM &amp; Financing (Milão)</t>
  </si>
  <si>
    <t xml:space="preserve">Língua-chave IT (exigência 0.7); experiência prévia em finanças valorizada, CV tem pouca; exige mestrado em curso ou convenção de estágio, risco.</t>
  </si>
  <si>
    <t xml:space="preserve">https://mediobanca.intervieweb.it/jobs/offcycle-internship-dcm-financing-1731/en/</t>
  </si>
  <si>
    <t xml:space="preserve">Macquarie Group</t>
  </si>
  <si>
    <t xml:space="preserve">Off-Cycle Internship, M&amp;A Advisory, Jan e Mar 2027 (Paris)</t>
  </si>
  <si>
    <t xml:space="preserve">Jan e Mar 2027</t>
  </si>
  <si>
    <t xml:space="preserve">https://www.efinancialcareers.com/jobs-France-Paris-Off-Cycle_Internship_MA_advisory_January_and_March_2027.id24463049</t>
  </si>
  <si>
    <t xml:space="preserve">2027 Off-Cycle Internship, Infrastructure Real Assets (Paris)</t>
  </si>
  <si>
    <t xml:space="preserve">https://www.efinancialcareers.com/jobs-France-Paris-2027_Off-Cycle_Internship_Infrastructure_Real_Assets.id24695742</t>
  </si>
  <si>
    <t xml:space="preserve">Off-Cycle Internship, Coverage and Solutions 2027 (Frankfurt)</t>
  </si>
  <si>
    <t xml:space="preserve">https://www.efinancialcareers.com/jobs-Germany-Frankfurt_am_Main-Off-Cycle_Internship_Coverage_and_Solutions_2027.id24736095</t>
  </si>
  <si>
    <t xml:space="preserve">2027 Global Corporate Banking, Mid-Cap, Off-Cycle Internship (Paris)</t>
  </si>
  <si>
    <t xml:space="preserve">https://www.efinancialcareers.com/jobs-France-Paris-2027_Global_Corporate_Banking_-_Mid-Cap_-_Off-Cycle_Internship_Program_-_Paris.id24344368</t>
  </si>
  <si>
    <t xml:space="preserve">2027 Global Corporate Banking, Mid-Cap, Off-Cycle Internship (Zurique)</t>
  </si>
  <si>
    <t xml:space="preserve">https://www.efinancialcareers.com/jobs-Switzerland-Zurich-2027_Global_Corporate_Banking_-_Mid-Cap_-_Off-Cycle_Internship_Program_-_Zurich.id24343803</t>
  </si>
  <si>
    <t xml:space="preserve">Lincoln International</t>
  </si>
  <si>
    <t xml:space="preserve">M&amp;A Internship, Janeiro 2027</t>
  </si>
  <si>
    <t xml:space="preserve">Localização vinda do agregador (Paris), confirmar.</t>
  </si>
  <si>
    <t xml:space="preserve">http://www.lincolninternational.com/greenhouse/?gh_jid=8156739</t>
  </si>
  <si>
    <t xml:space="preserve">Debt Advisory Internship, Março 2027</t>
  </si>
  <si>
    <t xml:space="preserve">http://www.lincolninternational.com/greenhouse/?gh_jid=8255813</t>
  </si>
  <si>
    <t xml:space="preserve">MUFG</t>
  </si>
  <si>
    <t xml:space="preserve">6-month Internship, Debt Capital Markets Bonds &amp; Loans, January 2027 (Paris)</t>
  </si>
  <si>
    <t xml:space="preserve">https://mufgub.wd3.myworkdayjobs.com/MUFG-Careers/job/Paris/XMLNAME-6-month-internship---Debt-Capital-Markets-Bonds---Loans---January-2027_10080029-WD</t>
  </si>
  <si>
    <t xml:space="preserve">2027 6-Month Internship, Japanese Corporate Banking Division (Amesterdão)</t>
  </si>
  <si>
    <t xml:space="preserve">Divisão japonesa, japonês pode ser valorizado.</t>
  </si>
  <si>
    <t xml:space="preserve">https://mufgub.wd3.myworkdayjobs.com/MUFG-Careers/job/Amsterdam/XMLNAME-2027-MUFG-6-month-Amsterdam-internship--Japanese-Corporate-Banking-Division_10079926-WD</t>
  </si>
  <si>
    <t xml:space="preserve">Natixis CIB</t>
  </si>
  <si>
    <t xml:space="preserve">Off-Cycle Internship, Corporate &amp; Investment Banking (Paris)</t>
  </si>
  <si>
    <t xml:space="preserve">Link geral de carreiras Natixis CIB.</t>
  </si>
  <si>
    <t xml:space="preserve">https://home.cib.natixis.com/shape-your-career</t>
  </si>
  <si>
    <t xml:space="preserve">BCG</t>
  </si>
  <si>
    <t xml:space="preserve">Internship, Junior Financial Analyst, Janvier 2027 (Paris)</t>
  </si>
  <si>
    <t xml:space="preserve">Finanças internas (consultora)</t>
  </si>
  <si>
    <t xml:space="preserve">https://www.efinancialcareers.com/jobs-France-Paris-Internship_-_Junior_Financial_Analyst_Janvier_2027.id24746352</t>
  </si>
  <si>
    <t xml:space="preserve">Citi</t>
  </si>
  <si>
    <t xml:space="preserve">Banking, Corporate Banking Placement Analyst 2027, Jan-Jun (Amesterdão)</t>
  </si>
  <si>
    <t xml:space="preserve">https://citi.wd5.myworkdayjobs.com/2/job/Amsterdam--Netherlands/Banking--Corporate-Banking--Placement-Analyst--Amsterdam---The-Netherlands--2027--January--June-Start-_26994569</t>
  </si>
  <si>
    <t xml:space="preserve">Banking, Investment Banking Placement Analyst 2027, January Intake (Zurique)</t>
  </si>
  <si>
    <t xml:space="preserve">https://citi.wd5.myworkdayjobs.com/2/job/Zurich--Switzerland/Banking--Investment-Banking--Placement-Analyst--Zurich--Switzerland-2027---January-Intake_26997502</t>
  </si>
  <si>
    <t xml:space="preserve">IB Off-Cycle Internship, Zurique (Q1 2027)</t>
  </si>
  <si>
    <t xml:space="preserve">https://jefferies.tal.net/vx/lang-en-GB/mobile-0/appcentre-1/brand-4/candidate/so/pm/1/pl/2/opp/1952-2027-Investment-Banking-Off-Cycle-Internship-Zurich-Q1/en-GB</t>
  </si>
  <si>
    <t xml:space="preserve">IB Off-Cycle Internship, Milão (Fev 2027)</t>
  </si>
  <si>
    <t xml:space="preserve">https://jefferies.tal.net/vx/lang-en-GB/mobile-0/appcentre-1/brand-4/candidate/so/pm/1/pl/2/opp/2010-2027-Investment-Banking-Off-Cycle-Internship-Milan-Q1-February-Start/en-GB</t>
  </si>
  <si>
    <t xml:space="preserve">IB Q1 2027 M&amp;A Intern (Frankfurt)</t>
  </si>
  <si>
    <t xml:space="preserve">Língua-chave DE (exigência 0.5); experiência prévia em finanças valorizada, CV tem pouca.</t>
  </si>
  <si>
    <t xml:space="preserve">https://alantra.wd3.myworkdayjobs.com/Alantra/job/Germany---Frankfurt/Investment-Banking--Q1-2027-M-A-Intern--Frankfurt--Germany-_JR466</t>
  </si>
  <si>
    <t xml:space="preserve">2027 Off-Cycle Intern, Global Client Solutions (Frankfurt)</t>
  </si>
  <si>
    <t xml:space="preserve">https://www.kkr.com/careers/student-careers/student-career-opportunities/post?gh_jid=6219494004</t>
  </si>
  <si>
    <t xml:space="preserve">Internship, Infrastructure (Paris, S1 2027)</t>
  </si>
  <si>
    <t xml:space="preserve">Jan 2027 (S1)</t>
  </si>
  <si>
    <t xml:space="preserve">https://www.jobteaser.com/en/job-offers/bcdc6a5a-c417-4d04-b6a7-80907ed2eded-eurazeo-internship-infrastructure-paris-s1-2027</t>
  </si>
  <si>
    <t xml:space="preserve">Internship, Growth (Paris, S1 2027)</t>
  </si>
  <si>
    <t xml:space="preserve">https://www.jobteaser.com/en/job-offers/8d4f900c-5368-4dea-a2e1-f4d5097496d7-eurazeo-internship-growth-paris-s1-2027</t>
  </si>
  <si>
    <t xml:space="preserve">Internship, Investor Relations, Direct Transactions (Paris, S1 2027)</t>
  </si>
  <si>
    <t xml:space="preserve">https://www.jobteaser.com/en/job-offers/3c174f2f-49a6-4fa7-a9dc-317fcdc64d45-eurazeo-internship-investor-relations-direct-transactions-paris-s1-2027</t>
  </si>
  <si>
    <t xml:space="preserve">Stage, Real Estate (Paris, S1 2027)</t>
  </si>
  <si>
    <t xml:space="preserve">https://www.jobteaser.com/en/job-offers/79262d72-3ffe-4f23-b650-39262a17e5ab-eurazeo-stage-real-estate-paris-s1-2027</t>
  </si>
  <si>
    <t xml:space="preserve">Trainee Fixed Income Analyst (Lisboa)</t>
  </si>
  <si>
    <t xml:space="preserve">https://group.bnpparibas/en/careers/job-offer/trainee-fixed-income-analyst</t>
  </si>
  <si>
    <t xml:space="preserve">Financial &amp; International Markets Trainee (Lisboa)</t>
  </si>
  <si>
    <t xml:space="preserve">https://group.bnpparibas/en/careers/job-offer/financial-international-markets-trainee</t>
  </si>
  <si>
    <t xml:space="preserve">Accenture</t>
  </si>
  <si>
    <t xml:space="preserve">Consulting Graduate Programme, January 2027 (Lisboa)</t>
  </si>
  <si>
    <t xml:space="preserve">Graduate (consultoria)</t>
  </si>
  <si>
    <t xml:space="preserve">Programa de entrada (graduate/trainee) com formação e rotação por áreas. Descrição típica, confirmar na oferta.</t>
  </si>
  <si>
    <t xml:space="preserve">Não obtidos da oferta; tipicamente licenciatura recente e inglês.</t>
  </si>
  <si>
    <t xml:space="preserve">Programa graduate (contrato), não estágio; entrada em janeiro em Lisboa.</t>
  </si>
  <si>
    <t xml:space="preserve">https://accenture.wd103.myworkdayjobs.com/AccentureCareers/job/Lisbon/Consulting-Graduate-Programme---January-2027_R00359243</t>
  </si>
  <si>
    <t xml:space="preserve">EY</t>
  </si>
  <si>
    <t xml:space="preserve">New Graduates January 2027, Assurance (Lisboa &amp; Porto)</t>
  </si>
  <si>
    <t xml:space="preserve">Graduate (auditoria)</t>
  </si>
  <si>
    <t xml:space="preserve">Português e inglês (ver oferta)</t>
  </si>
  <si>
    <t xml:space="preserve">Auditoria, não PE, opção de entrada na Big 4 em janeiro.</t>
  </si>
  <si>
    <t xml:space="preserve">https://eyglobal.yello.co/jobs/jBhzN3GbGmjPCRf1aQIYwA?job_board_id=c1riT--B2O-KySgYWsZO1Q&amp;locale=fr</t>
  </si>
  <si>
    <t xml:space="preserve">Mastercard</t>
  </si>
  <si>
    <t xml:space="preserve">Global Markets, Graduate Launch Program 2027 (Lisboa)</t>
  </si>
  <si>
    <t xml:space="preserve">Graduate (mercados/pagamentos)</t>
  </si>
  <si>
    <t xml:space="preserve">Big corporate</t>
  </si>
  <si>
    <t xml:space="preserve">2027</t>
  </si>
  <si>
    <t xml:space="preserve">https://mastercard.wd1.myworkdayjobs.com/CorporateCareers/job/Lisbon-Portugal/Global-Markets--Graduate-Launch-Program-2027---Lisbon--Portugal_R-287705-2</t>
  </si>
  <si>
    <t xml:space="preserve">Jerónimo Martins</t>
  </si>
  <si>
    <t xml:space="preserve">Programa de Trainees 2027 (recém-mestres de gestão, economia e STEM)</t>
  </si>
  <si>
    <t xml:space="preserve">Trainee / estágio</t>
  </si>
  <si>
    <t xml:space="preserve">Duas rotações por departamentos diferentes, cada uma com tutor; quem for selecionado pode continuar um segundo ano com três experiências operacionais e um mentor.</t>
  </si>
  <si>
    <t xml:space="preserve">Mestrado a terminar ou concluído recentemente (gestão, hotelaria, economia, finanças, marketing ou STEM preferidos, mas não obrigatórios); português e inglês fluentes; sem experiência profissional.</t>
  </si>
  <si>
    <t xml:space="preserve">Português e inglês fluentes</t>
  </si>
  <si>
    <t xml:space="preserve">Recém-mestres; precisas de mestrado concluído ou a concluir</t>
  </si>
  <si>
    <t xml:space="preserve">Língua-chave PT (exigência 0.3); não exige experiência prévia em finanças.</t>
  </si>
  <si>
    <t xml:space="preserve">Exige mestrado; confirma se aceitam licenciada. Prazo e início não indicados.</t>
  </si>
  <si>
    <t xml:space="preserve">https://careers.jeronimomartins.com/job/Lisboa-Programa-de-Trainees-2027-1649-033/1369534955/</t>
  </si>
  <si>
    <t xml:space="preserve">Coca-Cola Europacific Partners</t>
  </si>
  <si>
    <t xml:space="preserve">Programa Graduates, Desenvolvimento Comercial (Lisboa)</t>
  </si>
  <si>
    <t xml:space="preserve">Transformar dados em insights para as equipas de vendas: análise da execução nos pontos de venda, acompanhamento de indicadores (metodologia RED), apoio no terreno e criação de relatórios e dashboards.</t>
  </si>
  <si>
    <t xml:space="preserve">Licenciatura ou mestrado em gestão, economia, finanças, marketing ou similar; inglês C1 obrigatório; espanhol B2 preferido; Excel avançado e interesse por dados.</t>
  </si>
  <si>
    <t xml:space="preserve">Inglês C1 (obrigatório); espanhol B2 (preferido)</t>
  </si>
  <si>
    <t xml:space="preserve">Aceita licenciados e mestres</t>
  </si>
  <si>
    <t xml:space="preserve">Língua-chave PT (exigência 0.3); não exige experiência prévia em finanças; aceita recém-licenciadas.</t>
  </si>
  <si>
    <t xml:space="preserve">https://www.ccep.jobs/pt/vaga/-/-/1299/45312633152</t>
  </si>
  <si>
    <t xml:space="preserve">CP, Comboios de Portugal</t>
  </si>
  <si>
    <t xml:space="preserve">CPTrainUP, 2.ª edição (trainees, início janeiro 2027)</t>
  </si>
  <si>
    <t xml:space="preserve">12 meses</t>
  </si>
  <si>
    <t xml:space="preserve">Programa de trainees com experiência em projetos reais e possível integração futura na CP.</t>
  </si>
  <si>
    <t xml:space="preserve">Estudantes de mestrado ou recém-formados com no máximo dois anos de experiência; formação em gestão, engenharias, tecnologias de informação, sistemas de informação ou direito.</t>
  </si>
  <si>
    <t xml:space="preserve">Recém-formados com até 2 anos de experiência</t>
  </si>
  <si>
    <t xml:space="preserve">Início em janeiro de 2027, mas só a vertente de gestão encaixa em economia.</t>
  </si>
  <si>
    <t xml:space="preserve">https://www.cp.pt/info/w/institucional/recrutamento-cp-trainup</t>
  </si>
  <si>
    <t xml:space="preserve">TAP Air Portugal</t>
  </si>
  <si>
    <t xml:space="preserve">First Flight, estágio profissional (vertente corporativa)</t>
  </si>
  <si>
    <t xml:space="preserve">Duas rotações: uma num projeto de transformação e outra numa função corporativa ou área de negócio.</t>
  </si>
  <si>
    <t xml:space="preserve">Finalistas ou recém-graduados; vertente corporativa em gestão, ciências socioeconómicas ou engenharia com forte componente analítica; iniciativa e sentido crítico.</t>
  </si>
  <si>
    <t xml:space="preserve">Finalistas ou recém-graduados</t>
  </si>
  <si>
    <t xml:space="preserve">Link da TAP para a edição de 2026; confirma se há nova edição.</t>
  </si>
  <si>
    <t xml:space="preserve">https://trainees.pt/tap/</t>
  </si>
  <si>
    <t xml:space="preserve">Auchan Retail Portugal</t>
  </si>
  <si>
    <t xml:space="preserve">Empower Trainee Program (estágio profissional, Grande Lisboa)</t>
  </si>
  <si>
    <t xml:space="preserve">Co-responsabilidade por uma área de negócio, em gestão e operações: acompanhar e melhorar indicadores, liderar equipas e apoiar o planeamento da atividade comercial da loja.</t>
  </si>
  <si>
    <t xml:space="preserve">Licenciatura em gestão, engenharia e gestão industrial, logística ou similar; interesse por retalho; elegibilidade para estágio profissional IEFP.</t>
  </si>
  <si>
    <t xml:space="preserve">Elegível para estágio profissional IEFP</t>
  </si>
  <si>
    <t xml:space="preserve">Publicado a 14-07-2026; pode já estar fechado.</t>
  </si>
  <si>
    <t xml:space="preserve">https://auchanportugal.wd3.myworkdayjobs.com/pt-BR/auchan-retail/job/Grande-Lisboa/Empower-Trainee-Program---Grande-Lisboa_ID-26219</t>
  </si>
  <si>
    <t xml:space="preserve">AstraZeneca Portugal</t>
  </si>
  <si>
    <t xml:space="preserve">Life Changers, 3.ª edição (trainees, 11 meses)</t>
  </si>
  <si>
    <t xml:space="preserve">11 meses</t>
  </si>
  <si>
    <t xml:space="preserve">Programa de 11 meses numa área (marketing, médica ou recursos humanos), com responsabilidades reais desde o primeiro dia.</t>
  </si>
  <si>
    <t xml:space="preserve">Recém-graduados (licenciatura, mestrado ou doutoramento) de qualquer área; curiosidade, proatividade e pensamento crítico.</t>
  </si>
  <si>
    <t xml:space="preserve">Recém-graduados</t>
  </si>
  <si>
    <t xml:space="preserve">Áreas: marketing, médica e RH. Pouca ligação a finanças.</t>
  </si>
  <si>
    <t xml:space="preserve">https://www.astrazeneca.pt/programa-de-trainees-life-changers.html</t>
  </si>
  <si>
    <t xml:space="preserve">Sumol+Compal</t>
  </si>
  <si>
    <t xml:space="preserve">Talent Seed 2027 (trainees, gestão/economia)</t>
  </si>
  <si>
    <t xml:space="preserve">Programa de trainees de 12 meses com rotações e mentoria, para jovens de elevado potencial.</t>
  </si>
  <si>
    <t xml:space="preserve">Recém-graduados ou finalistas de mestrado em gestão, economia ou marketing; bom inglês; português obrigatório.</t>
  </si>
  <si>
    <t xml:space="preserve">Candidaturas de 31-07 a 30-09-2026; início em janeiro de 2027. Já fechou.</t>
  </si>
  <si>
    <t xml:space="preserve">https://carreiras.sumolcompal.pt/content/Programas-de-Estagio/?locale=pt_PT</t>
  </si>
  <si>
    <t xml:space="preserve">Mondelēz International</t>
  </si>
  <si>
    <t xml:space="preserve">Taste the Future, Order to Cash Trainee</t>
  </si>
  <si>
    <t xml:space="preserve">Estágio em Order to Cash (faturação, cobranças e apoio financeiro-operacional).</t>
  </si>
  <si>
    <t xml:space="preserve">Não obtidos da oferta; tipicamente finanças ou gestão e inglês fluente.</t>
  </si>
  <si>
    <t xml:space="preserve">https://www.iagora.com/work/en/offer/internship-portugal-management/6450046</t>
  </si>
  <si>
    <t xml:space="preserve">Caixa Geral de Depósitos</t>
  </si>
  <si>
    <t xml:space="preserve">Estagiário(a), Direção de Mercados Financeiros</t>
  </si>
  <si>
    <t xml:space="preserve">Mercados financeiros (banca)</t>
  </si>
  <si>
    <t xml:space="preserve">Acompanhar indicadores de mercado, monitorizar as carteiras próprias do banco e criar ferramentas de reporting em Excel, Power BI ou Python.</t>
  </si>
  <si>
    <t xml:space="preserve">Licenciatura em economia, finanças, gestão, matemática aplicada à economia e gestão ou matemática financeira; conhecimentos de mercados, obrigações e derivados, estatística; Excel avançado, VBA, Python ou Power BI; bom inglês.</t>
  </si>
  <si>
    <t xml:space="preserve">Licenciados; encaixa</t>
  </si>
  <si>
    <t xml:space="preserve">Melhor encaixe do teu perfil em finanças e matemática. Publicado a 28-09-2026.</t>
  </si>
  <si>
    <t xml:space="preserve">https://recrutamento.cgd.pt/job/Trainee-Mercados-Financeiros/1373073557/</t>
  </si>
  <si>
    <t xml:space="preserve">Bankinter Portugal</t>
  </si>
  <si>
    <t xml:space="preserve">Analista Financeiro, Desenvolvimento de Negócio, Banca Digital e Meios de Pagamento</t>
  </si>
  <si>
    <t xml:space="preserve">Emprego júnior (não estágio)</t>
  </si>
  <si>
    <t xml:space="preserve">Analisar o desempenho financeiro de produtos de pagamento, elaborar relatórios de gestão, análises de rentabilidade e projeções e acompanhar business cases.</t>
  </si>
  <si>
    <t xml:space="preserve">Licenciatura ou mestrado em economia, gestão ou finanças; experiência em meios de pagamento, produto, planeamento financeiro, consultoria ou controlo de gestão; Excel avançado e modelização; Power BI e SQL valorizados.</t>
  </si>
  <si>
    <t xml:space="preserve">Pede experiência; difícil para recém-licenciada</t>
  </si>
  <si>
    <t xml:space="preserve">Língua-chave PT (exigência 0.3); experiência prévia em finanças valorizada, CV tem pouca; exige mestrado em curso ou convenção de estágio, risco.</t>
  </si>
  <si>
    <t xml:space="preserve">Candidatura por email (gestaodepessoas.pt@bankinter.com). Não é estágio.</t>
  </si>
  <si>
    <t xml:space="preserve">https://www.linkedin.com/jobs/view/4471754745</t>
  </si>
  <si>
    <t xml:space="preserve">Santander Portugal</t>
  </si>
  <si>
    <t xml:space="preserve">Estágio, Área de Universidades (Evergreen)</t>
  </si>
  <si>
    <t xml:space="preserve">Apoiar a gestão e o desenvolvimento de iniciativas e projetos sobre educação, talento jovem e inovação.</t>
  </si>
  <si>
    <t xml:space="preserve">Licenciatura em gestão, economia, matemática, engenharia ou comunicação; português fluente; inglês valorizado; Excel e PowerPoint; boa organização e pensamento analítico.</t>
  </si>
  <si>
    <t xml:space="preserve">Publicado a 22-06-2026 (evergreen); pode estar encerrado.</t>
  </si>
  <si>
    <t xml:space="preserve">https://santander.wd3.myworkdayjobs.com/SantanderCareers/job/Estgio---rea-de-Universidades--Evergreen-_Req1588277</t>
  </si>
  <si>
    <t xml:space="preserve">Estágio, Comunicação e Brand Management</t>
  </si>
  <si>
    <t xml:space="preserve">Apoiar o plano de marketing (campanhas online e offline, eventos), produzir conteúdos e preparar benchmarking, insights e briefs.</t>
  </si>
  <si>
    <t xml:space="preserve">Licenciatura concluída em marketing, comunicação, gestão, economia ou similar; português e inglês fluentes; Excel e PowerPoint.</t>
  </si>
  <si>
    <t xml:space="preserve">O título do link refere gestão de projetos de experiência; confirma que é a mesma vaga. Publicado a 05-08-2026.</t>
  </si>
  <si>
    <t xml:space="preserve">https://santander.wd3.myworkdayjobs.com/en-US/SantanderCareers/job/Lisboa/Estgio-Comunicao---Gesto-de-Projetos-de-Experincia_Req1598724</t>
  </si>
  <si>
    <t xml:space="preserve">Estágio, Controlo e Governo de Riscos</t>
  </si>
  <si>
    <t xml:space="preserve">Risco (banca)</t>
  </si>
  <si>
    <t xml:space="preserve">Anúncio mais antigo no agregador; pode estar fechado.</t>
  </si>
  <si>
    <t xml:space="preserve">https://www.iagora.com/work/en/offer/internship-portugal-government/6197237</t>
  </si>
  <si>
    <t xml:space="preserve">Credit Risk Trainee</t>
  </si>
  <si>
    <t xml:space="preserve">Risco de crédito (banca)</t>
  </si>
  <si>
    <t xml:space="preserve">https://www.iagora.com/work/en/offer/internship-portugal-finance/6221721</t>
  </si>
  <si>
    <t xml:space="preserve">BNP Paribas CIB</t>
  </si>
  <si>
    <t xml:space="preserve">Strategy and Strategic Investments Trainee (Global Markets, Lisboa)</t>
  </si>
  <si>
    <t xml:space="preserve">Apoiar a direção com benchmarking competitivo, análises de desempenho e projetos estratégicos na equipa de Global Markets.</t>
  </si>
  <si>
    <t xml:space="preserve">Recém-graduado ou finalista com licenciatura em gestão, finanças, economia ou engenharia; inglês escrito e falado excelente (candidaturas só em inglês); Excel e PowerPoint; análise de dados e relatórios do setor.</t>
  </si>
  <si>
    <t xml:space="preserve">Inglês (candidatura só em inglês)</t>
  </si>
  <si>
    <t xml:space="preserve">Recém-graduados; encaixa</t>
  </si>
  <si>
    <t xml:space="preserve">Estágio de 12 meses (não 6). Presencial. Última atualização 07-09-2026.</t>
  </si>
  <si>
    <t xml:space="preserve">https://group.bnpparibas/en/careers/job-offer/strategy-and-strategic-investments-trainee</t>
  </si>
  <si>
    <t xml:space="preserve">Financial Resources Analytics Intern (Global Markets, Lisboa)</t>
  </si>
  <si>
    <t xml:space="preserve">Quant / risco de mercado</t>
  </si>
  <si>
    <t xml:space="preserve">Análise de risco, stress testing, reporting e integração de IA/LLM na equipa de Trading Risk Strategy.</t>
  </si>
  <si>
    <t xml:space="preserve">Mestrado em finanças, matemática financeira, economia, informática ou engenharia; inglês fluente; Python, VBA e SQL; interesse por IA/ML em finanças.</t>
  </si>
  <si>
    <t xml:space="preserve">Inglês fluente</t>
  </si>
  <si>
    <t xml:space="preserve">A página diz que a vaga já foi preenchida (atualizada a 06-10-2026). Vê se reabre.</t>
  </si>
  <si>
    <t xml:space="preserve">https://group.bnpparibas/en/careers/job-offer/financial-resources-analytics-intern</t>
  </si>
  <si>
    <t xml:space="preserve">Banco BPI</t>
  </si>
  <si>
    <t xml:space="preserve">Academias BPI 2026/2027 (Comercial, Riscos, Private Banking)</t>
  </si>
  <si>
    <t xml:space="preserve">Programas de aceleração para jovens talentos e recém-graduados nas áreas Comercial, Riscos e Private Banking.</t>
  </si>
  <si>
    <t xml:space="preserve">Licenciatura ou mestrado em economia, gestão, engenharia, matemática ou IT; inglês proficiente; português obrigatório.</t>
  </si>
  <si>
    <t xml:space="preserve">Monitorizar (edição 2027 ainda por abrir)</t>
  </si>
  <si>
    <t xml:space="preserve">Candidaturas encerradas na edição 2026/2027. Acompanha a próxima edição (programa de trainees abre por volta de março).</t>
  </si>
  <si>
    <t xml:space="preserve">https://bpi.programatrainees.pt/</t>
  </si>
  <si>
    <t xml:space="preserve">Deloitte Portugal</t>
  </si>
  <si>
    <t xml:space="preserve">Hello World 26/27, New Graduates (Financial Advisory, Risk Advisory, Consulting, Audit, Tax)</t>
  </si>
  <si>
    <t xml:space="preserve">Big 4 (Financial/Risk Advisory)</t>
  </si>
  <si>
    <t xml:space="preserve">Programa para novos licenciados que trabalham em Audit &amp; Assurance, Tax, Consulting, Financial Advisory ou Risk Advisory, em Lisboa e Porto.</t>
  </si>
  <si>
    <t xml:space="preserve">Licenciatura ou mestrado em gestão, economia, finanças ou direito; comunicação, trabalho em equipa, flexibilidade e proatividade.</t>
  </si>
  <si>
    <t xml:space="preserve">Recém-licenciados; encaixa</t>
  </si>
  <si>
    <t xml:space="preserve">Não indica prazo nem início. Aceita candidatura contínua.</t>
  </si>
  <si>
    <t xml:space="preserve">https://jobs.deloitte.pt/talentcommunity/apply/1369382655/?locale=pt_PT</t>
  </si>
  <si>
    <t xml:space="preserve">Candidatura espontânea (Lisboa)</t>
  </si>
  <si>
    <t xml:space="preserve">Big 4 (candidatura espontânea)</t>
  </si>
  <si>
    <t xml:space="preserve">Candidatura espontânea para qualquer área (Consulting, Financial Advisory, Risk).</t>
  </si>
  <si>
    <t xml:space="preserve">https://jobs.deloitte.pt/job/Lisboa-Candidatura-Espont%C3%A2nea/1353167355/</t>
  </si>
  <si>
    <t xml:space="preserve">KPMG Portugal</t>
  </si>
  <si>
    <t xml:space="preserve">Estágios, área económico-financeira (duas janelas por ano)</t>
  </si>
  <si>
    <t xml:space="preserve">Big 4 (estágio)</t>
  </si>
  <si>
    <t xml:space="preserve">Estágios para estudantes ou recém-licenciados de gestão, economia, finanças ou matemática, com início flexível conforme a tua disponibilidade.</t>
  </si>
  <si>
    <t xml:space="preserve">Estudantes ou recém-licenciados/mestres em gestão, economia, finanças, matemática e áreas afins.</t>
  </si>
  <si>
    <t xml:space="preserve">Janelas de candidatura: 16-03 a 16-04 e 15-09 a 15-10. A de outono fechou a 15-10-2026; a próxima abre a 16-03-2027.</t>
  </si>
  <si>
    <t xml:space="preserve">https://kpmg.com/pt/pt/carreiras/estagios.html</t>
  </si>
  <si>
    <t xml:space="preserve">PwC Portugal</t>
  </si>
  <si>
    <t xml:space="preserve">Recrutamento Anual (trainees, 12 meses)</t>
  </si>
  <si>
    <t xml:space="preserve">Big 4 (trainee)</t>
  </si>
  <si>
    <t xml:space="preserve">Programa anual em Auditoria, Fiscalidade e Consultoria, em modelo híbrido, em Lisboa, Porto, Coimbra, Faro e Funchal.</t>
  </si>
  <si>
    <t xml:space="preserve">Licenciatura ou mestrado concluído ou a concluir em gestão, economia, finanças, contabilidade, direito, TI ou engenharias; inglês proficiente.</t>
  </si>
  <si>
    <t xml:space="preserve">As candidaturas costumam abrir em janeiro e fevereiro (confirmar). Processo em 4 fases.</t>
  </si>
  <si>
    <t xml:space="preserve">https://www.pwc.pt/pt/carreiras/recrutamento-anual.html</t>
  </si>
  <si>
    <t xml:space="preserve">EY Portugal</t>
  </si>
  <si>
    <t xml:space="preserve">Oportunidades de início de carreira (estágios e programas)</t>
  </si>
  <si>
    <t xml:space="preserve">Big 4 (portal de vagas)</t>
  </si>
  <si>
    <t xml:space="preserve">Portal geral de vagas de entrada da EY Portugal; filtra por estágio e Strategy and Transactions.</t>
  </si>
  <si>
    <t xml:space="preserve">https://eyglobal.yello.co/job_boards/c1riT--B2O-KySgYWsZO1Q?locale=en</t>
  </si>
  <si>
    <t xml:space="preserve">Estágios, Confirmation Team (Lisboa e Viseu)</t>
  </si>
  <si>
    <t xml:space="preserve">Auditoria (estágio)</t>
  </si>
  <si>
    <t xml:space="preserve">https://eygbl.referrals.selectminds.com/jobs/est%C3%A1gios-confirmation-team-lisboa-e-viseu-126148</t>
  </si>
  <si>
    <t xml:space="preserve">Marsh</t>
  </si>
  <si>
    <t xml:space="preserve">Junior Analyst (estágio de 6 meses, Lisboa)</t>
  </si>
  <si>
    <t xml:space="preserve">Seguros / risco</t>
  </si>
  <si>
    <t xml:space="preserve">Língua-chave EN (exigência 0.8); não exige experiência prévia em finanças; aceita recém-licenciadas.</t>
  </si>
  <si>
    <t xml:space="preserve">Estágio de 6 meses. Empresa deduzida da descrição do agregador.</t>
  </si>
  <si>
    <t xml:space="preserve">https://www.iagora.com/work/en/offer/internship-portugal-finance/6489576</t>
  </si>
  <si>
    <t xml:space="preserve">Insured Consulting Analyst, Ireland (estágio, Lisboa)</t>
  </si>
  <si>
    <t xml:space="preserve">Língua-chave EN (exigência 0.9); não exige experiência prévia em finanças; aceita recém-licenciadas.</t>
  </si>
  <si>
    <t xml:space="preserve">https://www.iagora.com/work/en/offer/internship-portugal-finance/6483970</t>
  </si>
  <si>
    <t xml:space="preserve">McKinsey &amp; Company</t>
  </si>
  <si>
    <t xml:space="preserve">Business Analyst Intern, Tech &amp; AI (Portugal)</t>
  </si>
  <si>
    <t xml:space="preserve">Consultoria estratégica</t>
  </si>
  <si>
    <t xml:space="preserve">Empresa deduzida da descrição do agregador. Processo muito competitivo.</t>
  </si>
  <si>
    <t xml:space="preserve">https://www.iagora.com/work/en/offer/internship-portugal-finance/6481443</t>
  </si>
  <si>
    <t xml:space="preserve">Euronext</t>
  </si>
  <si>
    <t xml:space="preserve">Early Careers (programa de 2 anos nos mercados financeiros europeus)</t>
  </si>
  <si>
    <t xml:space="preserve">Mercados financeiros (bolsa)</t>
  </si>
  <si>
    <t xml:space="preserve">Serviços financeiros</t>
  </si>
  <si>
    <t xml:space="preserve">Percurso de dois anos centrado nos mercados financeiros europeus, com equipas em Lisboa e Porto (e contacto com Paris e Amesterdão).</t>
  </si>
  <si>
    <t xml:space="preserve">Finalistas ou recém-graduados (mestrado) em áreas quantitativas, tecnológicas ou de apoio ao negócio; inglês obrigatório, português não necessário.</t>
  </si>
  <si>
    <t xml:space="preserve">Inglês obrigatório</t>
  </si>
  <si>
    <t xml:space="preserve">A página fala em candidaturas a partir de setembro de 2026 mas sem data. Confirma no site.</t>
  </si>
  <si>
    <t xml:space="preserve">https://www.euronext.com/en/about/careers/early-careers-euronext</t>
  </si>
  <si>
    <t xml:space="preserve">Outsourcing Analyst (VIE, Porto)</t>
  </si>
  <si>
    <t xml:space="preserve">VIE (6 a 24 meses)</t>
  </si>
  <si>
    <t xml:space="preserve">Porto</t>
  </si>
  <si>
    <t xml:space="preserve">Língua-chave FR (exigência 0.4); não exige experiência prévia em finanças; aceita recém-licenciadas.</t>
  </si>
  <si>
    <t xml:space="preserve">VIE: contrato de 6 a 24 meses, para cidadãos da UE até aos 28 anos.</t>
  </si>
  <si>
    <t xml:space="preserve">https://www.iagora.com/work/en/offer/VIE-portugal-finance/6499059</t>
  </si>
  <si>
    <t xml:space="preserve">Empresa por confirmar (VIE)</t>
  </si>
  <si>
    <t xml:space="preserve">ESG Data Analyst (VIE, Lisboa)</t>
  </si>
  <si>
    <t xml:space="preserve">VIE (ESG)</t>
  </si>
  <si>
    <t xml:space="preserve">Empresa não visível no agregador.</t>
  </si>
  <si>
    <t xml:space="preserve">https://www.iagora.com/work/en/offer/VIE-portugal-finance/6438503</t>
  </si>
  <si>
    <t xml:space="preserve">Empresa por confirmar (gestora)</t>
  </si>
  <si>
    <t xml:space="preserve">Data Analyst Trainee, Real Assets (Lisboa)</t>
  </si>
  <si>
    <t xml:space="preserve">Dados em ativos reais</t>
  </si>
  <si>
    <t xml:space="preserve">Empresa não visível no agregador. Parece uma gestora de ativos reais.</t>
  </si>
  <si>
    <t xml:space="preserve">https://www.iagora.com/work/en/offer/internship-portugal-finance/6390557</t>
  </si>
  <si>
    <t xml:space="preserve">Empresa por confirmar</t>
  </si>
  <si>
    <t xml:space="preserve">Data Analyst Trainee (Lisboa)</t>
  </si>
  <si>
    <t xml:space="preserve">Dados / finanças</t>
  </si>
  <si>
    <t xml:space="preserve">https://www.iagora.com/work/en/offer/internship-portugal-finance/6410318</t>
  </si>
  <si>
    <t xml:space="preserve">Operational Risk Data Analyst Trainee (Lisboa)</t>
  </si>
  <si>
    <t xml:space="preserve">Risco operacional</t>
  </si>
  <si>
    <t xml:space="preserve">https://www.iagora.com/work/en/offer/internship-portugal-finance/6438579</t>
  </si>
  <si>
    <t xml:space="preserve">AML Analyst, Academy Program (Lisboa)</t>
  </si>
  <si>
    <t xml:space="preserve">Compliance / AML</t>
  </si>
  <si>
    <t xml:space="preserve">https://www.iagora.com/work/en/offer/internship-portugal-finance/6400205</t>
  </si>
  <si>
    <t xml:space="preserve">Business Continuity Analyst Trainee (Lisboa)</t>
  </si>
  <si>
    <t xml:space="preserve">Risco / continuidade</t>
  </si>
  <si>
    <t xml:space="preserve">https://www.iagora.com/work/en/offer/internship-portugal-finance/6482687</t>
  </si>
  <si>
    <t xml:space="preserve">Data Quality Trainee (Lisboa)</t>
  </si>
  <si>
    <t xml:space="preserve">https://www.iagora.com/work/en/offer/internship-portugal-finance/6466486</t>
  </si>
  <si>
    <t xml:space="preserve">Account Payable Trainee, English Speaker (Lisboa)</t>
  </si>
  <si>
    <t xml:space="preserve">Contabilidade (shared services)</t>
  </si>
  <si>
    <t xml:space="preserve">https://www.iagora.com/work/en/offer/internship-portugal-finance/6409011</t>
  </si>
  <si>
    <t xml:space="preserve">Customer Finance Intern, falante de francês (Lisboa)</t>
  </si>
  <si>
    <t xml:space="preserve">Finanças de clientes (shared services)</t>
  </si>
  <si>
    <t xml:space="preserve">Língua-chave FR (exigência 0.9); não exige experiência prévia em finanças; aceita recém-licenciadas.</t>
  </si>
  <si>
    <t xml:space="preserve">Exige francês.</t>
  </si>
  <si>
    <t xml:space="preserve">https://www.iagora.com/work/en/offer/internship-portugal-finance/6447427</t>
  </si>
  <si>
    <t xml:space="preserve">UNICRE</t>
  </si>
  <si>
    <t xml:space="preserve">Unlocker Junior Controller (Planeamento e Controlo de Gestão)</t>
  </si>
  <si>
    <t xml:space="preserve">Controlo de gestão (emprego júnior)</t>
  </si>
  <si>
    <t xml:space="preserve">Análise de negócio, reporting de gestão, orçamento, avaliação de novas oportunidades de negócio e monitorização do mercado e dos sistemas de pagamento.</t>
  </si>
  <si>
    <t xml:space="preserve">Licenciatura em gestão, gestão de informação, economia ou matemática; Excel e PowerPoint fortes; até 3 anos de experiência; bom inglês; pensamento analítico.</t>
  </si>
  <si>
    <t xml:space="preserve">Até 3 anos de experiência</t>
  </si>
  <si>
    <t xml:space="preserve">Língua-chave PT (exigência 0.3); experiência prévia em finanças valorizada, CV tem pouca.</t>
  </si>
  <si>
    <t xml:space="preserve">Candidatura por email (recrutamento@unicre.pt) até 19-10-2026. Programa Unlocker, pode não ser estágio.</t>
  </si>
  <si>
    <t xml:space="preserve">https://estagiar.pt/unlocker-junior-controller/</t>
  </si>
  <si>
    <t xml:space="preserve">Unlocker Trainee, Analista de Pricing (estágio de 12 meses)</t>
  </si>
  <si>
    <t xml:space="preserve">Pricing (pagamentos)</t>
  </si>
  <si>
    <t xml:space="preserve">Apoiar o pricing e o simulador de acquiring, preparar materiais para o Comité de Pricing e acompanhar testes promocionais e dashboards de desempenho.</t>
  </si>
  <si>
    <t xml:space="preserve">Licenciatura em gestão, gestão de informação ou economia; Office; SAS Guide ou Power BI preferidos; inglês fluente; capacidade analítica.</t>
  </si>
  <si>
    <t xml:space="preserve">Prazo até 12 de outubro (de 2026, segundo a data do anúncio). Estágio de 12 meses; candidatura por email.</t>
  </si>
  <si>
    <t xml:space="preserve">https://estagiar.pt/unlocker-trainee-analista-de-pricing/</t>
  </si>
  <si>
    <t xml:space="preserve">Cofidis Portugal</t>
  </si>
  <si>
    <t xml:space="preserve">Generation Pro (programa de 12 meses, dados, tecnologia e negócio)</t>
  </si>
  <si>
    <t xml:space="preserve">Programa de trainees / estágio profissional: formação inicial e rotação ou integração numa equipa. Descrição típica do programa, confirmar na oferta.</t>
  </si>
  <si>
    <t xml:space="preserve">Mestrado concluído ou quase, de preferência STEM ou negócio; inglês proficiente; português obrigatório.</t>
  </si>
  <si>
    <t xml:space="preserve">A edição de 2026 fechou a 19-04-2026. Acompanha a de 2027.</t>
  </si>
  <si>
    <t xml:space="preserve">https://recrutamento.cofidis.pt/pt/next-generation/generation-pro-2026.html</t>
  </si>
  <si>
    <t xml:space="preserve">Fidelidade</t>
  </si>
  <si>
    <t xml:space="preserve">Boomerang (trainees, 10 meses)</t>
  </si>
  <si>
    <t xml:space="preserve">Seguradora</t>
  </si>
  <si>
    <t xml:space="preserve">10 meses</t>
  </si>
  <si>
    <t xml:space="preserve">Cinco percursos: Tech, Business &amp; Sales, Marketing &amp; Communication, Investments e Data Analytics &amp; AI.</t>
  </si>
  <si>
    <t xml:space="preserve">Licenciatura concluída até setembro; português fluente obrigatório; até 2 anos de experiência é opcional.</t>
  </si>
  <si>
    <t xml:space="preserve">O percurso Investments é o mais próximo de finanças. A edição de 2026 abriu em maio.</t>
  </si>
  <si>
    <t xml:space="preserve">https://talentojovem.com/fidelidade/</t>
  </si>
  <si>
    <t xml:space="preserve">Generali Tranquilidade</t>
  </si>
  <si>
    <t xml:space="preserve">Rocket (programa de trainees, 12 meses)</t>
  </si>
  <si>
    <t xml:space="preserve">Estudantes ou recém-graduados em economia, gestão, engenharia, direito, marketing e áreas afins; português e inglês fluentes.</t>
  </si>
  <si>
    <t xml:space="preserve">A edição de 2026 abriu em março/maio.</t>
  </si>
  <si>
    <t xml:space="preserve">https://www.generalitranquilidade.pt/generali-tranquilidade/recursos-humanos/programas-talento-jovem</t>
  </si>
  <si>
    <t xml:space="preserve">Natixis Portugal</t>
  </si>
  <si>
    <t xml:space="preserve">We Want You (trainee de 11 meses, Porto)</t>
  </si>
  <si>
    <t xml:space="preserve">Recém-licenciados ou mestres em IT, engenharia, gestão, economia, finanças ou direito; inglês e português B1 no mínimo; sem experiência.</t>
  </si>
  <si>
    <t xml:space="preserve">A edição seguinte (season 2 de 2026) tinha início em outubro de 2026.</t>
  </si>
  <si>
    <t xml:space="preserve">https://wewantyou.pt/</t>
  </si>
  <si>
    <t xml:space="preserve">Forvis Mazars</t>
  </si>
  <si>
    <t xml:space="preserve">Talent Graduate 2026</t>
  </si>
  <si>
    <t xml:space="preserve">Auditoria / consultoria</t>
  </si>
  <si>
    <t xml:space="preserve">Finalistas ou recém-graduados em economia, gestão, contabilidade, direito ou STEM; inglês fluente; Office.</t>
  </si>
  <si>
    <t xml:space="preserve">Edição de 2026 aberta desde março. Acompanha a de 2027.</t>
  </si>
  <si>
    <t xml:space="preserve">https://www.forvismazars.com/pt/en/join-us/job-offers/talent-graduate-2026</t>
  </si>
  <si>
    <t xml:space="preserve">BDO Portugal</t>
  </si>
  <si>
    <t xml:space="preserve">Programa de Trainees (setembro, contrato sem termo)</t>
  </si>
  <si>
    <t xml:space="preserve">Recém-licenciados ou mestres numa área relevante; inglês fluente; português obrigatório.</t>
  </si>
  <si>
    <t xml:space="preserve">Edição de 2026 abriu em abril. Acompanha a de 2027.</t>
  </si>
  <si>
    <t xml:space="preserve">https://bdo-portugal.factorialhr.pt/job_posting/trainees-setembro-2026-294658</t>
  </si>
  <si>
    <t xml:space="preserve">Baker Tilly Portugal</t>
  </si>
  <si>
    <t xml:space="preserve">Academy Training Program</t>
  </si>
  <si>
    <t xml:space="preserve">Auditoria / fiscalidade</t>
  </si>
  <si>
    <t xml:space="preserve">Licenciatura ou mestrado em economia, gestão, contabilidade, auditoria, fiscalidade ou direito.</t>
  </si>
  <si>
    <t xml:space="preserve">Edição de 2026 abriu em maio. Acompanha a de 2027.</t>
  </si>
  <si>
    <t xml:space="preserve">https://www.bakertilly.pt/careers</t>
  </si>
  <si>
    <t xml:space="preserve">novobanco</t>
  </si>
  <si>
    <t xml:space="preserve">Young Talent Program (trainees, 9 meses)</t>
  </si>
  <si>
    <t xml:space="preserve">9 meses</t>
  </si>
  <si>
    <t xml:space="preserve">Licenciatura ou mestrado concluído; percurso corporativo (estratégia, risco, finanças, RH) aceita qualquer área; português obrigatório.</t>
  </si>
  <si>
    <t xml:space="preserve">A edição de 2026 esteve aberta de 20-04 a 14-06-2026.</t>
  </si>
  <si>
    <t xml:space="preserve">https://trainees.pt/novobanco/</t>
  </si>
  <si>
    <t xml:space="preserve">Programa de Trainees (12 meses, contrato sem termo)</t>
  </si>
  <si>
    <t xml:space="preserve">Cinco percursos (Comercial, Risco, Private Banking, DTI e Corporate). A edição de 2026 abriu em março.</t>
  </si>
  <si>
    <t xml:space="preserve">Crédito Agrícola</t>
  </si>
  <si>
    <t xml:space="preserve">CA Educa (estágio profissional de 12 meses)</t>
  </si>
  <si>
    <t xml:space="preserve">Licenciatura ou mestrado em gestão, finanças, contabilidade, economia, direito, RH, marketing ou IT.</t>
  </si>
  <si>
    <t xml:space="preserve">A edição de 2026 esteve aberta até 30-04-2026.</t>
  </si>
  <si>
    <t xml:space="preserve">https://www.creditoagricola.pt/institucional/recursos-humanos/candidaturas-ca-educa-2026</t>
  </si>
  <si>
    <t xml:space="preserve">EDP</t>
  </si>
  <si>
    <t xml:space="preserve">Global Graduate Program (18 meses, três rotações)</t>
  </si>
  <si>
    <t xml:space="preserve">18 meses</t>
  </si>
  <si>
    <t xml:space="preserve">Licenciatura ou mestrado concluído nos últimos dois anos (mestrado preferido); inglês fluente obrigatório; português não necessário.</t>
  </si>
  <si>
    <t xml:space="preserve">Língua-chave EN (exigência 1); não exige experiência prévia em finanças.</t>
  </si>
  <si>
    <t xml:space="preserve">A edição de 2026 abriu em março. Cinco fases de seleção.</t>
  </si>
  <si>
    <t xml:space="preserve">https://edp.com/pt/carreiras/oportunidades-de-emprego/iniciar-a-carreira/edp-global-graduate-program</t>
  </si>
  <si>
    <t xml:space="preserve">Galp</t>
  </si>
  <si>
    <t xml:space="preserve">Generation Galp (trainees, 12 meses)</t>
  </si>
  <si>
    <t xml:space="preserve">Mestrado concluído ou no último ano; inglês fluente; sólida base em engenharia, gestão ou IT.</t>
  </si>
  <si>
    <t xml:space="preserve">A edição de 2026 abriu em abril. Pede mestrado.</t>
  </si>
  <si>
    <t xml:space="preserve">https://www.galp.com/corp/pt/pessoas/talento-jovem/generation-galp</t>
  </si>
  <si>
    <t xml:space="preserve">Vodafone Portugal</t>
  </si>
  <si>
    <t xml:space="preserve">FutureRED (trainees)</t>
  </si>
  <si>
    <t xml:space="preserve">Set 2027</t>
  </si>
  <si>
    <t xml:space="preserve">Não obtidos da oferta; tipicamente licenciatura ou mestrado recente e inglês.</t>
  </si>
  <si>
    <t xml:space="preserve">As candidaturas abrem em fevereiro de 2027, para início em setembro de 2027. Link de uma plataforma.</t>
  </si>
  <si>
    <t xml:space="preserve">https://talentportugal.com/programa-de-trainees/vodafone-futurered/</t>
  </si>
  <si>
    <t xml:space="preserve">Banco CTT</t>
  </si>
  <si>
    <t xml:space="preserve">Programa de Trainees CTT</t>
  </si>
  <si>
    <t xml:space="preserve">A edição de 2026 abriu em maio. Link de uma plataforma.</t>
  </si>
  <si>
    <t xml:space="preserve">https://talentportugal.com/programa-de-trainees/ctt-programa-de-trainees-2026/</t>
  </si>
  <si>
    <t xml:space="preserve">BNP Paribas Personal Finance</t>
  </si>
  <si>
    <t xml:space="preserve">Rising Talents (programa de 12 meses)</t>
  </si>
  <si>
    <t xml:space="preserve">Link do anúncio numa plataforma; confirma a edição atual e o prazo.</t>
  </si>
  <si>
    <t xml:space="preserve">https://estagiar.pt/bnp-paribas-personal-finance-abre-candidaturas-para-nova-edicao-do-rising-talents/</t>
  </si>
  <si>
    <t xml:space="preserve">DHL</t>
  </si>
  <si>
    <t xml:space="preserve">Estágios locais, AIESEC e programa G100 (EMEA)</t>
  </si>
  <si>
    <t xml:space="preserve">6 a 12 meses (AIESEC)</t>
  </si>
  <si>
    <t xml:space="preserve">Três vias: estágios AIESEC de 6 a 12 meses em divisões da DHL, estágios locais e o programa de graduados G100 EMEA (liderança operacional, finanças, IT ou RH).</t>
  </si>
  <si>
    <t xml:space="preserve">AIESEC: estudantes de licenciatura ou mestrado. G100: graduados em início de carreira.</t>
  </si>
  <si>
    <t xml:space="preserve">Link geral de carreiras da DHL Supply Chain.</t>
  </si>
  <si>
    <t xml:space="preserve">https://www.dhl.com/pt-pt/home/cadeia-de-fornecimento/sobre-nos/carreiras-na-cadeia-de-abastecimento-dhl/oportunidades-de-carreira-na-cadeia-de-abastecimento-dhl.html</t>
  </si>
  <si>
    <t xml:space="preserve">Hilton</t>
  </si>
  <si>
    <t xml:space="preserve">Finance Intern / Trainee (Lisboa)</t>
  </si>
  <si>
    <t xml:space="preserve">Finanças (hotelaria)</t>
  </si>
  <si>
    <t xml:space="preserve">https://builtin.com/job/finance-intern-trainee/11618695</t>
  </si>
  <si>
    <t xml:space="preserve">Solen Software Group</t>
  </si>
  <si>
    <t xml:space="preserve">Finance Internship (Lisboa)</t>
  </si>
  <si>
    <t xml:space="preserve">Finanças (software)</t>
  </si>
  <si>
    <t xml:space="preserve">Startup / scale-up</t>
  </si>
  <si>
    <t xml:space="preserve">Empresa de software de menor dimensão; ótima para experiência rápida.</t>
  </si>
  <si>
    <t xml:space="preserve">https://builtin.com/job/finance-internship/11572716</t>
  </si>
  <si>
    <t xml:space="preserve">Feedzai</t>
  </si>
  <si>
    <t xml:space="preserve">Customer Strategy and Value Associate (Lisboa)</t>
  </si>
  <si>
    <t xml:space="preserve">Estratégia (scale-up)</t>
  </si>
  <si>
    <t xml:space="preserve">Cargo júnior a confirmar, não é estágio. Scale-up de prevenção de fraude.</t>
  </si>
  <si>
    <t xml:space="preserve">https://careers.feedzai.com/job_description?gh_jid=8223376</t>
  </si>
  <si>
    <t xml:space="preserve">Portugal Ventures</t>
  </si>
  <si>
    <t xml:space="preserve">Candidatura espontânea (venture capital, Lisboa/Porto)</t>
  </si>
  <si>
    <t xml:space="preserve">Venture capital (spontânea)</t>
  </si>
  <si>
    <t xml:space="preserve">Sem vagas públicas. O site indica o email contact@portugalventures.pt para contactos.</t>
  </si>
  <si>
    <t xml:space="preserve">Língua-chave PT (exigência 0.3); pede experiência prévia em IB/PE/consultoria, o CV mostrado não tem.</t>
  </si>
  <si>
    <t xml:space="preserve">Sem vaga anunciada: propõe um estágio por email, com a carta de motivação e o CV.</t>
  </si>
  <si>
    <t xml:space="preserve">https://www.portugalventures.pt/</t>
  </si>
  <si>
    <t xml:space="preserve">Armilar Venture Partners</t>
  </si>
  <si>
    <t xml:space="preserve">Candidatura espontânea (venture capital, Lisboa)</t>
  </si>
  <si>
    <t xml:space="preserve">Sem vagas anunciadas; o site tem página de vagas das participadas (armilar.com/jobs).</t>
  </si>
  <si>
    <t xml:space="preserve">https://www.armilar.com/contact</t>
  </si>
  <si>
    <t xml:space="preserve">Indico Capital Partners</t>
  </si>
  <si>
    <t xml:space="preserve">Sem vagas anunciadas. O email do site é para investidores: usa a página de contactos.</t>
  </si>
  <si>
    <t xml:space="preserve">https://www.indicocapital.com/contacts</t>
  </si>
  <si>
    <t xml:space="preserve">Banco Português de Fomento</t>
  </si>
  <si>
    <t xml:space="preserve">Bolsa de emprego (investimento, fundos e fomento)</t>
  </si>
  <si>
    <t xml:space="preserve">Banco de fomento (capital de risco)</t>
  </si>
  <si>
    <t xml:space="preserve">Há vagas sénior (ex.: Investimentos em Fundos, 3+ anos); acompanha estágios.</t>
  </si>
  <si>
    <t xml:space="preserve">https://www.bpfomento.pt/pt/bolsa-de-emprego/</t>
  </si>
  <si>
    <t xml:space="preserve">Perfil (do teu CV) e pressupostos do modelo de probabilidade</t>
  </si>
  <si>
    <t xml:space="preserve">As células a azul são editáveis e todas as probabilidades e a análise recalculam sozinhas. Se melhorares uma língua ou ganhares experiência, atualiza os valores aqui.</t>
  </si>
  <si>
    <t xml:space="preserve">Pontos fortes que o CV mostra: liderança e logística (Head of Logistics, equipa de 10), organização de angariação de fundos e de eventos, responsabilidade por grupos de crianças e voluntariado intenso.</t>
  </si>
  <si>
    <t xml:space="preserve">Competências técnicas: Excel (certificado Microsoft Office Specialist 2016), PowerPoint avançado e Python (certificado). Inglês avançado (Cambridge C1), espanhol e italiano básicos e português nativo.</t>
  </si>
  <si>
    <t xml:space="preserve">Lacunas para PE e banca de investimento: o CV não tem nenhum estágio em finanças, banca de investimento, PE ou consultoria, não indica francês nem alemão e não mostra projetos de modelação financeira.</t>
  </si>
  <si>
    <t xml:space="preserve">O CV que recebi só mostra a experiência e as competências, sem cabeçalho nem educação. Assumi o curso de Economia na NOVA SBE, com conclusão em janeiro de 2027, a partir da descrição do projeto. Se acrescentares a média, cadeiras de finanças, case competitions ou modelos DCF, o match sobe.</t>
  </si>
  <si>
    <t xml:space="preserve">Proficiência linguística (0 = nenhuma, 1 = fluente/nativa)</t>
  </si>
  <si>
    <t xml:space="preserve">Pesos do Match com o CV</t>
  </si>
  <si>
    <t xml:space="preserve">Código</t>
  </si>
  <si>
    <t xml:space="preserve">Língua</t>
  </si>
  <si>
    <t xml:space="preserve">Proficiência (0-1)</t>
  </si>
  <si>
    <t xml:space="preserve">Fator</t>
  </si>
  <si>
    <t xml:space="preserve">Peso</t>
  </si>
  <si>
    <t xml:space="preserve">Idioma</t>
  </si>
  <si>
    <t xml:space="preserve">Experiência relevante</t>
  </si>
  <si>
    <t xml:space="preserve">Espanhol</t>
  </si>
  <si>
    <t xml:space="preserve">Elegibilidade (estudante/graduada)</t>
  </si>
  <si>
    <t xml:space="preserve">Italiano</t>
  </si>
  <si>
    <t xml:space="preserve">Perfil / skills (Excel, Python, liderança)</t>
  </si>
  <si>
    <t xml:space="preserve">Francês</t>
  </si>
  <si>
    <t xml:space="preserve">Soma dos pesos</t>
  </si>
  <si>
    <t xml:space="preserve">Alemão</t>
  </si>
  <si>
    <t xml:space="preserve">Neerlandês</t>
  </si>
  <si>
    <t xml:space="preserve">Taxa base de aceitação por dificuldade (PRESSUPOSTO, não há estatísticas públicas fiáveis)</t>
  </si>
  <si>
    <t xml:space="preserve">Parâmetros do modelo</t>
  </si>
  <si>
    <t xml:space="preserve">Taxa base (candidato médio)</t>
  </si>
  <si>
    <t xml:space="preserve">Parâmetro</t>
  </si>
  <si>
    <t xml:space="preserve">Valor</t>
  </si>
  <si>
    <t xml:space="preserve">Multiplicador mínimo (Match = 0)</t>
  </si>
  <si>
    <t xml:space="preserve">Aumento por ponto de Match (Match = 100 soma isto)</t>
  </si>
  <si>
    <t xml:space="preserve">Redutor se inelegível</t>
  </si>
  <si>
    <t xml:space="preserve">Elegibilidade ≤ isto = inelegível</t>
  </si>
  <si>
    <t xml:space="preserve">Teto da probabilidade</t>
  </si>
  <si>
    <t xml:space="preserve">Chance 'Boa' se prob. ≥</t>
  </si>
  <si>
    <t xml:space="preserve">Chance 'Média' se prob. ≥</t>
  </si>
  <si>
    <t xml:space="preserve">Correlação entre candidaturas (0 = independentes, 1 = iguais)</t>
  </si>
  <si>
    <t xml:space="preserve">Como se calcula</t>
  </si>
  <si>
    <t xml:space="preserve">Idioma = 1 − exigência × (1 − proficiência na língua-chave). Match (0 a 100) é a média ponderada de Idioma, Experiência, Elegibilidade e Perfil.</t>
  </si>
  <si>
    <t xml:space="preserve">Probabilidade = taxa base (dada pela dificuldade) × (mínimo + aumento × Match/100) × redutor se a vaga for inelegível, com o teto indicado acima.</t>
  </si>
  <si>
    <t xml:space="preserve">A Experiência, a Elegibilidade e o Perfil de cada vaga são julgamento meu, feito a partir dos requisitos publicados e do teu CV (valores a azul em 'Dados completos'). A taxa base é um palpite informado: usa a probabilidade para comparar vagas e não como valor absoluto.</t>
  </si>
  <si>
    <t xml:space="preserve">A probabilidade de receberes pelo menos uma oferta com N candidaturas é 1 − (Π(1−p))^(1−ρ), onde ρ é a correlação entre candidaturas (o mesmo CV é lido em todas, por isso ρ é maior que 0). O ranking usa Prob. × interesse (fit/5), para que vagas pouco relevantes não passem à frente das de PE e M&amp;A.</t>
  </si>
  <si>
    <t xml:space="preserve">Análise estatística, melhores matches entre o teu CV e as vagas</t>
  </si>
  <si>
    <t xml:space="preserve">Só entram vagas com o prazo ainda por passar. As probabilidades são estimativas comparativas (ver pressupostos) e tudo recalcula se mudares a folha 'Perfil e pressupostos'.</t>
  </si>
  <si>
    <t xml:space="preserve">1. Top 10: melhor combinação de probabilidade (ajustada ao teu CV) e interesse (fit com PE e finanças)
Mostra as 10 vagas com a melhor combinação entre probabilidade de aceitação e interesse. Match CV é o encaixe do teu perfil (0 a 100), Prob. aceit. é a estimativa de seres aceite e Fit é o interesse em PE e finanças (1 a 5).</t>
  </si>
  <si>
    <t xml:space="preserve">Gráfico de barras: uma barra por cada vaga do Top 10 (secção 1, pela ordem do ranking). Quanto maior a barra, maior a probabilidade estimada de seres aceite. Serve para ver quanto se distanciam as primeiras vagas das seguintes.</t>
  </si>
  <si>
    <t xml:space="preserve">Fit (1-5)</t>
  </si>
  <si>
    <t xml:space="preserve">2. Estatística descritiva (vagas ativas)
Resume a distribuição do match e da probabilidade em todas as vagas ativas: média, mediana, dispersão e quartis. Serve para ver se o Top 10 se destaca das restantes.</t>
  </si>
  <si>
    <t xml:space="preserve">Métrica</t>
  </si>
  <si>
    <t xml:space="preserve">Match CV (0-100)</t>
  </si>
  <si>
    <t xml:space="preserve">Nº de vagas</t>
  </si>
  <si>
    <t xml:space="preserve">Mediana</t>
  </si>
  <si>
    <t xml:space="preserve">Gráfico de linha: no eixo horizontal está o número de candidaturas (às melhores N vagas do ranking) e no vertical a probabilidade estimada de receberes pelo menos uma oferta. A curva tende a achatar, porque as candidaturas seguintes têm probabilidades mais baixas e partilham o mesmo CV. Dados da secção 5.</t>
  </si>
  <si>
    <t xml:space="preserve">Desvio-padrão</t>
  </si>
  <si>
    <t xml:space="preserve">Mínimo</t>
  </si>
  <si>
    <t xml:space="preserve">1.º quartil</t>
  </si>
  <si>
    <t xml:space="preserve">3.º quartil</t>
  </si>
  <si>
    <t xml:space="preserve">Máximo</t>
  </si>
  <si>
    <t xml:space="preserve">Média do Top 10</t>
  </si>
  <si>
    <t xml:space="preserve">Média das restantes</t>
  </si>
  <si>
    <t xml:space="preserve">Diferença Top 10 vs restantes</t>
  </si>
  <si>
    <t xml:space="preserve">3. Por país
Compara países: número de vagas, probabilidade média e máxima e match médio. Mostra onde o teu perfil encaixa melhor.</t>
  </si>
  <si>
    <t xml:space="preserve">Nº vagas</t>
  </si>
  <si>
    <t xml:space="preserve">Prob. máx.</t>
  </si>
  <si>
    <t xml:space="preserve">Match médio</t>
  </si>
  <si>
    <t xml:space="preserve">4. Por dificuldade de ser aceite
Compara os níveis de dificuldade. As vagas mais difíceis têm probabilidade mais baixa, como seria de esperar.</t>
  </si>
  <si>
    <t xml:space="preserve">5. Quantas candidaturas fazer? (às N melhores do ranking; correlação ρ em 'Perfil e pressupostos')
Responde a quantas candidaturas compensa fazer. Para cada N assume que te candidatas às N melhores vagas do ranking e calcula a probabilidade de receberes pelo menos uma oferta, já com a correlação entre candidaturas. É o que alimenta o gráfico de linha.</t>
  </si>
  <si>
    <t xml:space="preserve">Nº de candidaturas (N)</t>
  </si>
  <si>
    <t xml:space="preserve">Prob. de ≥1 oferta</t>
  </si>
  <si>
    <t xml:space="preserve">Nº esperado de ofertas</t>
  </si>
  <si>
    <t xml:space="preserve">6. Sensibilidade: prob. de ≥1 oferta se as taxas base forem k vezes as assumidas
Testa a robustez da conclusão: repete o cálculo com as taxas base de aceitação multiplicadas por k. Como essas taxas são pressupostos, mostra até que ponto o resultado depende delas.</t>
  </si>
  <si>
    <t xml:space="preserve">Multiplicador k</t>
  </si>
  <si>
    <t xml:space="preserve">Top 10</t>
  </si>
  <si>
    <t xml:space="preserve">Top 20</t>
  </si>
  <si>
    <t xml:space="preserve">Todas (ativas)</t>
  </si>
  <si>
    <t xml:space="preserve">7. Correlações (todas as vagas)
Mede a relação entre pares de variáveis (r entre -1 e 1). Perto de 0 não há relação; um valor negativo quer dizer que, quando uma variável sobe, a outra tende a descer.</t>
  </si>
  <si>
    <t xml:space="preserve">Par de variáveis</t>
  </si>
  <si>
    <t xml:space="preserve">Correlação (r)</t>
  </si>
  <si>
    <t xml:space="preserve">Match CV  ×  Prob. aceitação</t>
  </si>
  <si>
    <t xml:space="preserve">Fit com PE/finance  ×  Prob. aceitação</t>
  </si>
  <si>
    <t xml:space="preserve">Fit com PE/finance  ×  Match CV</t>
  </si>
  <si>
    <t xml:space="preserve">Idioma  ×  Match CV</t>
  </si>
  <si>
    <t xml:space="preserve">Experiência  ×  Match CV</t>
  </si>
  <si>
    <t xml:space="preserve">8. O que puxa o match? (média dos fatores: Top 10 vs restantes)
Compara a média de cada fator do match no Top 10 e nas restantes vagas, e indica o fator que mais limita o teu perfil.</t>
  </si>
  <si>
    <t xml:space="preserve">Restantes</t>
  </si>
  <si>
    <t xml:space="preserve">Diferença</t>
  </si>
  <si>
    <t xml:space="preserve">Média geral</t>
  </si>
  <si>
    <t xml:space="preserve">Experiência</t>
  </si>
  <si>
    <t xml:space="preserve">Elegibilidade</t>
  </si>
  <si>
    <t xml:space="preserve">Perfil / skills</t>
  </si>
  <si>
    <t xml:space="preserve">Fator mais limitante (média geral mais baixa)</t>
  </si>
  <si>
    <t xml:space="preserve">9. Leitura (texto dinâmico, com os pressupostos atuais)
Texto que se atualiza sozinho com os números das secções anteriores.</t>
  </si>
  <si>
    <t xml:space="preserve">As vagas portuguesas (BNP, EY, Accenture, Santander, IEFP) têm menos ligação ao private equity, mas a probabilidade mais alta, porque não exigem francês nem alemão e aceitam recém-licenciadas. As vagas de PE em Paris, Frankfurt e Londres têm match baixo sobretudo por causa da língua e da falta de experiência prévia.</t>
  </si>
  <si>
    <t xml:space="preserve">Para subir a probabilidade: conseguir um estágio ou projeto em finanças (sobe o fator Experiência), melhorar o francês (altera a proficiência FR em 'Perfil e pressupostos') e candidatar-te a vagas que aceitam recém-licenciadas.</t>
  </si>
  <si>
    <t xml:space="preserve">As taxas base de aceitação são pressupostos meus. Usa os números para ordenar vagas e não para prever resultados. A secção 6 mostra como a conclusão muda se as taxas forem de 0,5 a 2 vezes as assumidas.</t>
  </si>
  <si>
    <t xml:space="preserve">10. Por tipo de empresa
Compara os tipos de empresa (banca de investimento, VC e private equity, banca comercial, Big 4, big corporate, startups, setor público...): quantas vagas ativas há de cada tipo, a probabilidade média e o match médio. Ajuda a decidir onde diversificar candidaturas.</t>
  </si>
  <si>
    <t xml:space="preserve">Vagas ativas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</si>
</sst>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General"/>
    <numFmt numFmtId="167" formatCode="0.0%"/>
    <numFmt numFmtId="168" formatCode="0%"/>
    <numFmt numFmtId="169" formatCode="dd\-mmm\-yyyy"/>
    <numFmt numFmtId="170" formatCode="#,##0"/>
    <numFmt numFmtId="171" formatCode="0.00"/>
    <numFmt numFmtId="172" formatCode="0.000000"/>
    <numFmt numFmtId="173" formatCode="0.0"/>
    <numFmt numFmtId="174" formatCode="0.0\×"/>
    <numFmt numFmtId="175" formatCode="\+0.00;\-0.00;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9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7EECD"/>
          <bgColor rgb="FF000000"/>
        </patternFill>
      </fill>
    </dxf>
    <dxf>
      <fill>
        <patternFill patternType="solid">
          <fgColor rgb="FFC9EECB"/>
          <bgColor rgb="FF000000"/>
        </patternFill>
      </fill>
    </dxf>
    <dxf>
      <fill>
        <patternFill patternType="solid">
          <fgColor rgb="FFC9EECC"/>
          <bgColor rgb="FF000000"/>
        </patternFill>
      </fill>
    </dxf>
    <dxf>
      <fill>
        <patternFill patternType="solid">
          <fgColor rgb="FFCAEECA"/>
          <bgColor rgb="FF000000"/>
        </patternFill>
      </fill>
    </dxf>
    <dxf>
      <fill>
        <patternFill patternType="solid">
          <fgColor rgb="FFCAEECB"/>
          <bgColor rgb="FF000000"/>
        </patternFill>
      </fill>
    </dxf>
    <dxf>
      <fill>
        <patternFill patternType="solid">
          <fgColor rgb="FFCBEEC9"/>
          <bgColor rgb="FF000000"/>
        </patternFill>
      </fill>
    </dxf>
    <dxf>
      <fill>
        <patternFill patternType="solid">
          <fgColor rgb="FFCBEECA"/>
          <bgColor rgb="FF000000"/>
        </patternFill>
      </fill>
    </dxf>
    <dxf>
      <fill>
        <patternFill patternType="solid">
          <fgColor rgb="FFCCEEC9"/>
          <bgColor rgb="FF000000"/>
        </patternFill>
      </fill>
    </dxf>
    <dxf>
      <fill>
        <patternFill patternType="solid">
          <fgColor rgb="FFCEEEC7"/>
          <bgColor rgb="FF000000"/>
        </patternFill>
      </fill>
    </dxf>
    <dxf>
      <fill>
        <patternFill patternType="solid">
          <fgColor rgb="FFCFEEC6"/>
          <bgColor rgb="FF000000"/>
        </patternFill>
      </fill>
    </dxf>
    <dxf>
      <fill>
        <patternFill patternType="solid">
          <fgColor rgb="FFD1EEC4"/>
          <bgColor rgb="FF000000"/>
        </patternFill>
      </fill>
    </dxf>
    <dxf>
      <fill>
        <patternFill patternType="solid">
          <fgColor rgb="FFD3EEC3"/>
          <bgColor rgb="FF000000"/>
        </patternFill>
      </fill>
    </dxf>
    <dxf>
      <fill>
        <patternFill patternType="solid">
          <fgColor rgb="FFD4EEC2"/>
          <bgColor rgb="FF000000"/>
        </patternFill>
      </fill>
    </dxf>
    <dxf>
      <fill>
        <patternFill patternType="solid">
          <fgColor rgb="FFDAEDBC"/>
          <bgColor rgb="FF000000"/>
        </patternFill>
      </fill>
    </dxf>
    <dxf>
      <fill>
        <patternFill patternType="solid">
          <fgColor rgb="FFDBEDBC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E4ECB4"/>
          <bgColor rgb="FF000000"/>
        </patternFill>
      </fill>
    </dxf>
    <dxf>
      <fill>
        <patternFill patternType="solid">
          <fgColor rgb="FFE5ECB2"/>
          <bgColor rgb="FF000000"/>
        </patternFill>
      </fill>
    </dxf>
    <dxf>
      <fill>
        <patternFill patternType="solid">
          <fgColor rgb="FFEAECAE"/>
          <bgColor rgb="FF000000"/>
        </patternFill>
      </fill>
    </dxf>
    <dxf>
      <fill>
        <patternFill patternType="solid">
          <fgColor rgb="FFEBECAD"/>
          <bgColor rgb="FF000000"/>
        </patternFill>
      </fill>
    </dxf>
    <dxf>
      <fill>
        <patternFill patternType="solid">
          <fgColor rgb="FFEEECAA"/>
          <bgColor rgb="FF000000"/>
        </patternFill>
      </fill>
    </dxf>
    <dxf>
      <fill>
        <patternFill patternType="solid">
          <fgColor rgb="FFEFECAA"/>
          <bgColor rgb="FF000000"/>
        </patternFill>
      </fill>
    </dxf>
    <dxf>
      <fill>
        <patternFill patternType="solid">
          <fgColor rgb="FFF0ECA9"/>
          <bgColor rgb="FF000000"/>
        </patternFill>
      </fill>
    </dxf>
    <dxf>
      <fill>
        <patternFill patternType="solid">
          <fgColor rgb="FFF1ECA8"/>
          <bgColor rgb="FF000000"/>
        </patternFill>
      </fill>
    </dxf>
    <dxf>
      <fill>
        <patternFill patternType="solid">
          <fgColor rgb="FFF2EBA7"/>
          <bgColor rgb="FF000000"/>
        </patternFill>
      </fill>
    </dxf>
    <dxf>
      <fill>
        <patternFill patternType="solid">
          <fgColor rgb="FFF2EBA8"/>
          <bgColor rgb="FF000000"/>
        </patternFill>
      </fill>
    </dxf>
    <dxf>
      <fill>
        <patternFill patternType="solid">
          <fgColor rgb="FFF3EBA6"/>
          <bgColor rgb="FF000000"/>
        </patternFill>
      </fill>
    </dxf>
    <dxf>
      <fill>
        <patternFill patternType="solid">
          <fgColor rgb="FFF4EBA5"/>
          <bgColor rgb="FF000000"/>
        </patternFill>
      </fill>
    </dxf>
    <dxf>
      <fill>
        <patternFill patternType="solid">
          <fgColor rgb="FFF5EBA4"/>
          <bgColor rgb="FF000000"/>
        </patternFill>
      </fill>
    </dxf>
    <dxf>
      <fill>
        <patternFill patternType="solid">
          <fgColor rgb="FFF6EBA4"/>
          <bgColor rgb="FF000000"/>
        </patternFill>
      </fill>
    </dxf>
    <dxf>
      <fill>
        <patternFill patternType="solid">
          <fgColor rgb="FFF7EBA3"/>
          <bgColor rgb="FF000000"/>
        </patternFill>
      </fill>
    </dxf>
    <dxf>
      <fill>
        <patternFill patternType="solid">
          <fgColor rgb="FFF8CDAC"/>
          <bgColor rgb="FF000000"/>
        </patternFill>
      </fill>
    </dxf>
    <dxf>
      <fill>
        <patternFill patternType="solid">
          <fgColor rgb="FFF9D0AB"/>
          <bgColor rgb="FF000000"/>
        </patternFill>
      </fill>
    </dxf>
    <dxf>
      <fill>
        <patternFill patternType="solid">
          <fgColor rgb="FFF9D1AA"/>
          <bgColor rgb="FF000000"/>
        </patternFill>
      </fill>
    </dxf>
    <dxf>
      <fill>
        <patternFill patternType="solid">
          <fgColor rgb="FFF9D2A9"/>
          <bgColor rgb="FF000000"/>
        </patternFill>
      </fill>
    </dxf>
    <dxf>
      <fill>
        <patternFill patternType="solid">
          <fgColor rgb="FFFAD4A9"/>
          <bgColor rgb="FF000000"/>
        </patternFill>
      </fill>
    </dxf>
    <dxf>
      <fill>
        <patternFill patternType="solid">
          <fgColor rgb="FFFAD5A8"/>
          <bgColor rgb="FF000000"/>
        </patternFill>
      </fill>
    </dxf>
    <dxf>
      <fill>
        <patternFill patternType="solid">
          <fgColor rgb="FFFAD7A7"/>
          <bgColor rgb="FF000000"/>
        </patternFill>
      </fill>
    </dxf>
    <dxf>
      <fill>
        <patternFill patternType="solid">
          <fgColor rgb="FFFAD8A6"/>
          <bgColor rgb="FF000000"/>
        </patternFill>
      </fill>
    </dxf>
    <dxf>
      <fill>
        <patternFill patternType="solid">
          <fgColor rgb="FFFAD8A7"/>
          <bgColor rgb="FF000000"/>
        </patternFill>
      </fill>
    </dxf>
    <dxf>
      <fill>
        <patternFill patternType="solid">
          <fgColor rgb="FFFBD9A6"/>
          <bgColor rgb="FF000000"/>
        </patternFill>
      </fill>
    </dxf>
    <dxf>
      <fill>
        <patternFill patternType="solid">
          <fgColor rgb="FFFBDCA4"/>
          <bgColor rgb="FF000000"/>
        </patternFill>
      </fill>
    </dxf>
    <dxf>
      <fill>
        <patternFill patternType="solid">
          <fgColor rgb="FFFBEB9F"/>
          <bgColor rgb="FF000000"/>
        </patternFill>
      </fill>
    </dxf>
    <dxf>
      <fill>
        <patternFill patternType="solid">
          <fgColor rgb="FFFBEBA0"/>
          <bgColor rgb="FF000000"/>
        </patternFill>
      </fill>
    </dxf>
    <dxf>
      <fill>
        <patternFill patternType="solid">
          <fgColor rgb="FFFCDEA3"/>
          <bgColor rgb="FF000000"/>
        </patternFill>
      </fill>
    </dxf>
    <dxf>
      <fill>
        <patternFill patternType="solid">
          <fgColor rgb="FFFCDFA2"/>
          <bgColor rgb="FF000000"/>
        </patternFill>
      </fill>
    </dxf>
    <dxf>
      <fill>
        <patternFill patternType="solid">
          <fgColor rgb="FFFCDFA3"/>
          <bgColor rgb="FF000000"/>
        </patternFill>
      </fill>
    </dxf>
    <dxf>
      <fill>
        <patternFill patternType="solid">
          <fgColor rgb="FFFCE1A1"/>
          <bgColor rgb="FF000000"/>
        </patternFill>
      </fill>
    </dxf>
    <dxf>
      <fill>
        <patternFill patternType="solid">
          <fgColor rgb="FFFCE1A2"/>
          <bgColor rgb="FF000000"/>
        </patternFill>
      </fill>
    </dxf>
    <dxf>
      <fill>
        <patternFill patternType="solid">
          <fgColor rgb="FFFCEB9E"/>
          <bgColor rgb="FF000000"/>
        </patternFill>
      </fill>
    </dxf>
    <dxf>
      <fill>
        <patternFill patternType="solid">
          <fgColor rgb="FFFDE1A1"/>
          <bgColor rgb="FF000000"/>
        </patternFill>
      </fill>
    </dxf>
    <dxf>
      <fill>
        <patternFill patternType="solid">
          <fgColor rgb="FFFDE2A1"/>
          <bgColor rgb="FF000000"/>
        </patternFill>
      </fill>
    </dxf>
    <dxf>
      <fill>
        <patternFill patternType="solid">
          <fgColor rgb="FFFDE3A0"/>
          <bgColor rgb="FF000000"/>
        </patternFill>
      </fill>
    </dxf>
    <dxf>
      <fill>
        <patternFill patternType="solid">
          <fgColor rgb="FFFDE3A1"/>
          <bgColor rgb="FF000000"/>
        </patternFill>
      </fill>
    </dxf>
    <dxf>
      <fill>
        <patternFill patternType="solid">
          <fgColor rgb="FFFDE4A0"/>
          <bgColor rgb="FF000000"/>
        </patternFill>
      </fill>
    </dxf>
    <dxf>
      <fill>
        <patternFill patternType="solid">
          <fgColor rgb="FFFDE59F"/>
          <bgColor rgb="FF000000"/>
        </patternFill>
      </fill>
    </dxf>
    <dxf>
      <fill>
        <patternFill patternType="solid">
          <fgColor rgb="FFFDE69F"/>
          <bgColor rgb="FF000000"/>
        </patternFill>
      </fill>
    </dxf>
    <dxf>
      <fill>
        <patternFill patternType="solid">
          <fgColor rgb="FFFEE69F"/>
          <bgColor rgb="FF000000"/>
        </patternFill>
      </fill>
    </dxf>
    <dxf>
      <fill>
        <patternFill patternType="solid">
          <fgColor rgb="FFFEE79E"/>
          <bgColor rgb="FF000000"/>
        </patternFill>
      </fill>
    </dxf>
    <dxf>
      <fill>
        <patternFill patternType="solid">
          <fgColor rgb="FFFEE79F"/>
          <bgColor rgb="FF000000"/>
        </patternFill>
      </fill>
    </dxf>
    <dxf>
      <fill>
        <patternFill patternType="solid">
          <fgColor rgb="FFFEE89E"/>
          <bgColor rgb="FF000000"/>
        </patternFill>
      </fill>
    </dxf>
    <dxf>
      <fill>
        <patternFill patternType="solid">
          <fgColor rgb="FFFEE99D"/>
          <bgColor rgb="FF000000"/>
        </patternFill>
      </fill>
    </dxf>
    <dxf>
      <fill>
        <patternFill patternType="solid">
          <fgColor rgb="FFFEEA9D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FBFBF"/>
      <rgbColor rgb="FF7F7F7F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FCE4D6"/>
      <rgbColor rgb="FFFFC7CE"/>
      <rgbColor rgb="FFF9F9F9"/>
      <rgbColor rgb="FFF8CBAD"/>
      <rgbColor rgb="FF2E75B6"/>
      <rgbColor rgb="FF33CCCC"/>
      <rgbColor rgb="FF99CC00"/>
      <rgbColor rgb="FFFFCC00"/>
      <rgbColor rgb="FFBF90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</a:rPr>
              <a:t>Vagas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Resumo!$F$5</c:f>
              <c:strCache>
                <c:ptCount val="1"/>
                <c:pt idx="0">
                  <c:v>Nº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Resumo!$E$6:$E$17</c:f>
              <c:strCache>
                <c:ptCount val="12"/>
                <c:pt idx="0">
                  <c:v>Reino Unido</c:v>
                </c:pt>
                <c:pt idx="1">
                  <c:v>Espanha</c:v>
                </c:pt>
                <c:pt idx="2">
                  <c:v>França</c:v>
                </c:pt>
                <c:pt idx="3">
                  <c:v>Alemanha</c:v>
                </c:pt>
                <c:pt idx="4">
                  <c:v>Portugal</c:v>
                </c:pt>
                <c:pt idx="5">
                  <c:v>Luxemburgo</c:v>
                </c:pt>
                <c:pt idx="6">
                  <c:v>Suécia</c:v>
                </c:pt>
                <c:pt idx="7">
                  <c:v>Suíça</c:v>
                </c:pt>
                <c:pt idx="8">
                  <c:v>Itália</c:v>
                </c:pt>
                <c:pt idx="9">
                  <c:v>Polónia</c:v>
                </c:pt>
                <c:pt idx="10">
                  <c:v>Bélgica</c:v>
                </c:pt>
                <c:pt idx="11">
                  <c:v>Países Baixos</c:v>
                </c:pt>
              </c:strCache>
            </c:strRef>
          </c:cat>
          <c:val>
            <c:numRef>
              <c:f>Resumo!$F$6:$F$17</c:f>
              <c:numCache>
                <c:formatCode>General</c:formatCode>
                <c:ptCount val="12"/>
                <c:pt idx="0">
                  <c:v>28</c:v>
                </c:pt>
                <c:pt idx="1">
                  <c:v>8</c:v>
                </c:pt>
                <c:pt idx="2">
                  <c:v>62</c:v>
                </c:pt>
                <c:pt idx="3">
                  <c:v>19</c:v>
                </c:pt>
                <c:pt idx="4">
                  <c:v>73</c:v>
                </c:pt>
                <c:pt idx="5">
                  <c:v>6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</c:ser>
        <c:gapWidth val="150"/>
        <c:overlap val="0"/>
        <c:axId val="42286047"/>
        <c:axId val="91339034"/>
      </c:barChart>
      <c:catAx>
        <c:axId val="42286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39034"/>
        <c:crosses val="autoZero"/>
        <c:auto val="1"/>
        <c:lblAlgn val="ctr"/>
        <c:lblOffset val="100"/>
        <c:noMultiLvlLbl val="0"/>
      </c:catAx>
      <c:valAx>
        <c:axId val="91339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86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Prob. de ≥1 oferta vs. nº de candidaturas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'Análise de match'!$D$58</c:f>
              <c:strCache>
                <c:ptCount val="1"/>
                <c:pt idx="0">
                  <c:v>Prob. de ≥1 oferta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'Análise de match'!$B$59:$B$66</c:f>
              <c:strCach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</c:strCache>
            </c:strRef>
          </c:cat>
          <c:val>
            <c:numRef>
              <c:f>'Análise de match'!$D$59:$D$66</c:f>
              <c:numCache>
                <c:formatCode>0.0%</c:formatCode>
                <c:ptCount val="8"/>
                <c:pt idx="0">
                  <c:v>0.093931569913177</c:v>
                </c:pt>
                <c:pt idx="1">
                  <c:v>0.255176150546056</c:v>
                </c:pt>
                <c:pt idx="2">
                  <c:v>0.365083938221782</c:v>
                </c:pt>
                <c:pt idx="3">
                  <c:v>0.551101462519079</c:v>
                </c:pt>
                <c:pt idx="4">
                  <c:v>0.683362113826107</c:v>
                </c:pt>
                <c:pt idx="5">
                  <c:v>0.793738910231423</c:v>
                </c:pt>
                <c:pt idx="6">
                  <c:v>0.905195066776145</c:v>
                </c:pt>
                <c:pt idx="7">
                  <c:v>0.957013724653566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243943"/>
        <c:axId val="38737506"/>
      </c:lineChart>
      <c:catAx>
        <c:axId val="95243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candidaturas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37506"/>
        <c:crosses val="autoZero"/>
        <c:auto val="1"/>
        <c:lblAlgn val="ctr"/>
        <c:lblOffset val="100"/>
        <c:noMultiLvlLbl val="0"/>
      </c:catAx>
      <c:valAx>
        <c:axId val="38737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3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10: probabilidade estimada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'Análise de match'!$F$5</c:f>
              <c:strCache>
                <c:ptCount val="1"/>
                <c:pt idx="0">
                  <c:v>Prob. aceit.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'Análise de match'!$B$6:$B$15</c:f>
              <c:strCache>
                <c:ptCount val="10"/>
                <c:pt idx="0">
                  <c:v>Santander Portugal</c:v>
                </c:pt>
                <c:pt idx="1">
                  <c:v>Santander Portugal</c:v>
                </c:pt>
                <c:pt idx="2">
                  <c:v>Banco Santander (Portugal)</c:v>
                </c:pt>
                <c:pt idx="3">
                  <c:v>Qualquer empresa portuguesa (PE/VC/Corporate Finance)</c:v>
                </c:pt>
                <c:pt idx="4">
                  <c:v>Caixa Geral de Depósitos</c:v>
                </c:pt>
                <c:pt idx="5">
                  <c:v>EY-Parthenon</c:v>
                </c:pt>
                <c:pt idx="6">
                  <c:v>BNP Paribas</c:v>
                </c:pt>
                <c:pt idx="7">
                  <c:v>Empresa por confirmar (gestora)</c:v>
                </c:pt>
                <c:pt idx="8">
                  <c:v>Euronext</c:v>
                </c:pt>
                <c:pt idx="9">
                  <c:v>Hilton</c:v>
                </c:pt>
              </c:strCache>
            </c:strRef>
          </c:cat>
          <c:val>
            <c:numRef>
              <c:f>'Análise de match'!$F$6:$F$15</c:f>
              <c:numCache>
                <c:formatCode>0.0%</c:formatCode>
                <c:ptCount val="10"/>
                <c:pt idx="0">
                  <c:v>0.17904</c:v>
                </c:pt>
                <c:pt idx="1">
                  <c:v>0.17904</c:v>
                </c:pt>
                <c:pt idx="2">
                  <c:v>0.17688</c:v>
                </c:pt>
                <c:pt idx="3">
                  <c:v>0.17688</c:v>
                </c:pt>
                <c:pt idx="4">
                  <c:v>0.1172</c:v>
                </c:pt>
                <c:pt idx="5">
                  <c:v>0.11792</c:v>
                </c:pt>
                <c:pt idx="6">
                  <c:v>0.11648</c:v>
                </c:pt>
                <c:pt idx="7">
                  <c:v>0.116048</c:v>
                </c:pt>
                <c:pt idx="8">
                  <c:v>0.115664</c:v>
                </c:pt>
                <c:pt idx="9">
                  <c:v>0.179472</c:v>
                </c:pt>
              </c:numCache>
            </c:numRef>
          </c:val>
        </c:ser>
        <c:gapWidth val="150"/>
        <c:overlap val="0"/>
        <c:axId val="51368196"/>
        <c:axId val="58467243"/>
      </c:barChart>
      <c:catAx>
        <c:axId val="5136819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67243"/>
        <c:crosses val="autoZero"/>
        <c:auto val="1"/>
        <c:lblAlgn val="ctr"/>
        <c:lblOffset val="100"/>
        <c:noMultiLvlLbl val="0"/>
      </c:catAx>
      <c:valAx>
        <c:axId val="58467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681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100800</xdr:rowOff>
    </xdr:from>
    <xdr:to>
      <xdr:col>16</xdr:col>
      <xdr:colOff>38520</xdr:colOff>
      <xdr:row>18</xdr:row>
      <xdr:rowOff>143280</xdr:rowOff>
    </xdr:to>
    <xdr:graphicFrame>
      <xdr:nvGraphicFramePr>
        <xdr:cNvPr id="0" name="Chart 1"/>
        <xdr:cNvGraphicFramePr/>
      </xdr:nvGraphicFramePr>
      <xdr:xfrm>
        <a:off x="9985320" y="1262880"/>
        <a:ext cx="4314600" cy="23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22</xdr:row>
      <xdr:rowOff>37440</xdr:rowOff>
    </xdr:from>
    <xdr:to>
      <xdr:col>19</xdr:col>
      <xdr:colOff>146880</xdr:colOff>
      <xdr:row>33</xdr:row>
      <xdr:rowOff>97920</xdr:rowOff>
    </xdr:to>
    <xdr:graphicFrame>
      <xdr:nvGraphicFramePr>
        <xdr:cNvPr id="1" name="Chart 1"/>
        <xdr:cNvGraphicFramePr/>
      </xdr:nvGraphicFramePr>
      <xdr:xfrm>
        <a:off x="12945600" y="7362000"/>
        <a:ext cx="5033880" cy="268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130680</xdr:rowOff>
    </xdr:from>
    <xdr:to>
      <xdr:col>19</xdr:col>
      <xdr:colOff>146880</xdr:colOff>
      <xdr:row>12</xdr:row>
      <xdr:rowOff>152280</xdr:rowOff>
    </xdr:to>
    <xdr:graphicFrame>
      <xdr:nvGraphicFramePr>
        <xdr:cNvPr id="2" name="Chart 2"/>
        <xdr:cNvGraphicFramePr/>
      </xdr:nvGraphicFramePr>
      <xdr:xfrm>
        <a:off x="12945600" y="1492920"/>
        <a:ext cx="5033880" cy="286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rothschildandco.com/en/careers/students-and-graduates/opportunities/2027-five-arrows-private-equity-long-term-internship/" TargetMode="External"/><Relationship Id="rId3" Type="http://schemas.openxmlformats.org/officeDocument/2006/relationships/hyperlink" Target="https://www.rothschildandco.com/en/careers/students-and-graduates/opportunities/global-advisory-spain-madrid-long-term-internship-6-months-starting-january-or-july-2027/" TargetMode="External"/><Relationship Id="rId4" Type="http://schemas.openxmlformats.org/officeDocument/2006/relationships/hyperlink" Target="https://www.rothschildandco.com/en/careers/students-and-graduates/opportunities/ga-stage-transaction-r-co-global-advisory-janviermars-2027/" TargetMode="External"/><Relationship Id="rId5" Type="http://schemas.openxmlformats.org/officeDocument/2006/relationships/hyperlink" Target="https://rothschildandco.tal.net/vx/lang-en-GB/mobile-0/appcentre-1/brand-4/candidate/so/pm/1/pl/2/opp/969-Stage-Private-Equity-Investment-Analyst-FAPI-Janvier-Mars-2027/en-GB" TargetMode="External"/><Relationship Id="rId6" Type="http://schemas.openxmlformats.org/officeDocument/2006/relationships/hyperlink" Target="https://blackstone.wd1.myworkdayjobs.com/Blackstone_Campus_Careers/job/London/XMLNAME-2027-Blackstone-Private-Equity-Off-Cycle-Internship_45106" TargetMode="External"/><Relationship Id="rId7" Type="http://schemas.openxmlformats.org/officeDocument/2006/relationships/hyperlink" Target="https://hl.wd1.myworkdayjobs.com/Campus/job/Paris-France/XMLNAME-6-Month-Off-Cycle-Intern---Capital-Solutions--Secondary-Advisory--January-2027-_R3617" TargetMode="External"/><Relationship Id="rId8" Type="http://schemas.openxmlformats.org/officeDocument/2006/relationships/hyperlink" Target="https://hl.wd1.myworkdayjobs.com/Campus/job/Paris-France/Off-Cycle-Internship---Primary-Capital-Advisory--Private-Equity-Fundraising----January-2027_R3598" TargetMode="External"/><Relationship Id="rId9" Type="http://schemas.openxmlformats.org/officeDocument/2006/relationships/hyperlink" Target="https://alantra.wd3.myworkdayjobs.com/Alantra/job/Spain---Madrid/Investment-Banking-Off-Cycle-Internship-Programme---January-2027_JR498" TargetMode="External"/><Relationship Id="rId10" Type="http://schemas.openxmlformats.org/officeDocument/2006/relationships/hyperlink" Target="https://ikpartners.recruitee.com/o/capital-markets-off-cycle-analyst-2027" TargetMode="External"/><Relationship Id="rId11" Type="http://schemas.openxmlformats.org/officeDocument/2006/relationships/hyperlink" Target="https://careers.blackrock.com/job/london/2027-off-cycle-internship-program-emea/45831/97104654800" TargetMode="External"/><Relationship Id="rId12" Type="http://schemas.openxmlformats.org/officeDocument/2006/relationships/hyperlink" Target="https://careers.blackrock.com/job/london/2027-off-cycle-internship-program-emea/45831/97104654800" TargetMode="External"/><Relationship Id="rId13" Type="http://schemas.openxmlformats.org/officeDocument/2006/relationships/hyperlink" Target="https://www.bnpparibas.pt/en/jobs/investment-banking-trainee-ma-advisory/" TargetMode="External"/><Relationship Id="rId14" Type="http://schemas.openxmlformats.org/officeDocument/2006/relationships/hyperlink" Target="https://www.ey.com/pt_pt/careers" TargetMode="External"/><Relationship Id="rId15" Type="http://schemas.openxmlformats.org/officeDocument/2006/relationships/hyperlink" Target="https://alantra.wd3.myworkdayjobs.com/Alantra/job/Portugal---Lisbon/Sumer-Intern_JR132" TargetMode="External"/><Relationship Id="rId16" Type="http://schemas.openxmlformats.org/officeDocument/2006/relationships/hyperlink" Target="https://inforcapital.com/jobs/ardian-private-equity-buyout-stage-janvier-2027-i-paris-mf/" TargetMode="External"/><Relationship Id="rId17" Type="http://schemas.openxmlformats.org/officeDocument/2006/relationships/hyperlink" Target="https://www.jobteaser.com/en/job-offers/6b4351d6-5d6f-4919-9301-8a260372988b-ardian-private-equity-co-investment-stage-janvier-2027-paris-m-f" TargetMode="External"/><Relationship Id="rId18" Type="http://schemas.openxmlformats.org/officeDocument/2006/relationships/hyperlink" Target="https://www.jobteaser.com/fr/job-offers/eb1aaf93-15ad-4de7-8761-4ec928254ea6-ardian-private-equity-expansion-stage-janvier-2027-paris-h-f" TargetMode="External"/><Relationship Id="rId19" Type="http://schemas.openxmlformats.org/officeDocument/2006/relationships/hyperlink" Target="https://www.studentjob.es/ofertas/8034308-infrastructure-intern-january-2027-madrid-m-f" TargetMode="External"/><Relationship Id="rId20" Type="http://schemas.openxmlformats.org/officeDocument/2006/relationships/hyperlink" Target="https://ardian.wd103.myworkdayjobs.com/ArdianCareers/job/Luxembourg/Infrastructure-Intern---Luxembourg---March-2027_JR1002223" TargetMode="External"/><Relationship Id="rId21" Type="http://schemas.openxmlformats.org/officeDocument/2006/relationships/hyperlink" Target="https://www.jobteaser.com/fr/job-offers/62c753b2-3cd7-44c8-892b-24806d21c9e5-eurazeo-internship-strategy-and-m-a-paris-s1-2027" TargetMode="External"/><Relationship Id="rId22" Type="http://schemas.openxmlformats.org/officeDocument/2006/relationships/hyperlink" Target="https://www.jobteaser.com/fr/job-offers/83c5271d-79e5-47fd-8a3a-68bd45762dcc-eurazeo-internship-private-debt-direct-lending-paris-s1-2027" TargetMode="External"/><Relationship Id="rId23" Type="http://schemas.openxmlformats.org/officeDocument/2006/relationships/hyperlink" Target="https://www.eib.org/en/about/careers/categories/traineeships/index" TargetMode="External"/><Relationship Id="rId24" Type="http://schemas.openxmlformats.org/officeDocument/2006/relationships/hyperlink" Target="https://jefferies.tal.net/vx/lang-en-GB/mobile-0/appcentre-1/brand-4/candidate/so/pm/1/pl/2/opp/1821-2027-Investment-Banking-Off-Cycle-Internship-Programme-Paris-Generalist-Team-January-start/en-GB" TargetMode="External"/><Relationship Id="rId25" Type="http://schemas.openxmlformats.org/officeDocument/2006/relationships/hyperlink" Target="https://jefferies.tal.net/vx/lang-en-GB/mobile-0/appcentre-1/brand-4/candidate/so/pm/1/pl/2/opp/1823-2027-Investment-Banking-Off-Cycle-Internship-Madrid-Country-Coverage-Team-February-August-start/en-GB" TargetMode="External"/><Relationship Id="rId26" Type="http://schemas.openxmlformats.org/officeDocument/2006/relationships/hyperlink" Target="https://jefferies.tal.net/vx/lang-en-GB/mobile-0/appcentre-1/brand-4/candidate/so/pm/1/pl/2/opp/1799-2027-Investment-Banking-Off-Cycle-Internship-Programme-VARIOUS-Groups-London-Feb-Start-Date/en-GB" TargetMode="External"/><Relationship Id="rId27" Type="http://schemas.openxmlformats.org/officeDocument/2006/relationships/hyperlink" Target="https://higher.gs.com/roles/170844_GS_CAMPUS" TargetMode="External"/><Relationship Id="rId28" Type="http://schemas.openxmlformats.org/officeDocument/2006/relationships/hyperlink" Target="https://higher.gs.com/roles/170846_GS_CAMPUS" TargetMode="External"/><Relationship Id="rId29" Type="http://schemas.openxmlformats.org/officeDocument/2006/relationships/hyperlink" Target="https://www.kkr.com/careers/student-careers/student-career-opportunities/post?gh_jid=6109396004" TargetMode="External"/><Relationship Id="rId30" Type="http://schemas.openxmlformats.org/officeDocument/2006/relationships/hyperlink" Target="https://www.kkr.com/careers/student-careers/student-career-opportunities/post?gh_jid=4777518004" TargetMode="External"/><Relationship Id="rId31" Type="http://schemas.openxmlformats.org/officeDocument/2006/relationships/hyperlink" Target="https://jpmc.fa.oraclecloud.com/hcmUI/CandidateExperience/en/sites/CX_1001/job/210739544" TargetMode="External"/><Relationship Id="rId32" Type="http://schemas.openxmlformats.org/officeDocument/2006/relationships/hyperlink" Target="https://astorg.pinpointhq.com/en/postings/ff0e8d06-7d85-4ec9-b54c-d521d11bd270" TargetMode="External"/><Relationship Id="rId33" Type="http://schemas.openxmlformats.org/officeDocument/2006/relationships/hyperlink" Target="https://job-boards.greenhouse.io/sagardcareers/jobs/4596033005" TargetMode="External"/><Relationship Id="rId34" Type="http://schemas.openxmlformats.org/officeDocument/2006/relationships/hyperlink" Target="https://armira-beteiligungen-gmbh-co-kg.jobs.personio.com/job/2573591" TargetMode="External"/><Relationship Id="rId35" Type="http://schemas.openxmlformats.org/officeDocument/2006/relationships/hyperlink" Target="https://fyntraq.io/private-equity-internships-europe" TargetMode="External"/><Relationship Id="rId36" Type="http://schemas.openxmlformats.org/officeDocument/2006/relationships/hyperlink" Target="https://www.santander.com/en/careers" TargetMode="External"/><Relationship Id="rId37" Type="http://schemas.openxmlformats.org/officeDocument/2006/relationships/hyperlink" Target="https://www.santander.com/en/careers" TargetMode="External"/><Relationship Id="rId38" Type="http://schemas.openxmlformats.org/officeDocument/2006/relationships/hyperlink" Target="https://www.iefp.pt/estagios" TargetMode="External"/><Relationship Id="rId39" Type="http://schemas.openxmlformats.org/officeDocument/2006/relationships/hyperlink" Target="https://ardian.wd103.myworkdayjobs.com/en-US/ArdianCareers/job/Paris/Private-Equity-Buyout-Stage---Mars-2027-I-Paris--M-F-_JR1002149" TargetMode="External"/><Relationship Id="rId40" Type="http://schemas.openxmlformats.org/officeDocument/2006/relationships/hyperlink" Target="https://ardian.wd103.myworkdayjobs.com/en-US/ArdianCareers/job/Paris/Private-Equity-Semiconductor-Stage---Mars-2027-I-Paris--H-F-_JR1002229" TargetMode="External"/><Relationship Id="rId41" Type="http://schemas.openxmlformats.org/officeDocument/2006/relationships/hyperlink" Target="https://ardian.wd103.myworkdayjobs.com/en-US/ArdianCareers/job/Paris/Private-Equity-Growth-Stage---Mars-2027---Paris--M-F-_JR1002113" TargetMode="External"/><Relationship Id="rId42" Type="http://schemas.openxmlformats.org/officeDocument/2006/relationships/hyperlink" Target="https://ardian.wd103.myworkdayjobs.com/en-US/ArdianCareers/job/Paris/Private-Equity-Expansion-Stage---Mars-2027---Paris--H-F-_JR1002080-1" TargetMode="External"/><Relationship Id="rId43" Type="http://schemas.openxmlformats.org/officeDocument/2006/relationships/hyperlink" Target="https://ardian.wd103.myworkdayjobs.com/en-US/ArdianCareers/job/Paris/Private-Equity-Real-Estate-Stage---Mars-2027-I-Paris--M-F-_JR1002144" TargetMode="External"/><Relationship Id="rId44" Type="http://schemas.openxmlformats.org/officeDocument/2006/relationships/hyperlink" Target="https://www.jobteaser.com/en/job-offers/854a8b76-d6c3-4237-979e-98c5164b7ddc-ardian-private-equity-infrastructure-stage-janvier-2027-paris-h-f" TargetMode="External"/><Relationship Id="rId45" Type="http://schemas.openxmlformats.org/officeDocument/2006/relationships/hyperlink" Target="https://ardian.wd103.myworkdayjobs.com/en-US/ArdianCareers/job/Paris/Fund-Finance-Secondaries---Primaries-Stage---Janvier-2027---Paris--M-F-_JR1002110" TargetMode="External"/><Relationship Id="rId46" Type="http://schemas.openxmlformats.org/officeDocument/2006/relationships/hyperlink" Target="https://www.jobteaser.com/en/job-offers/8bb69a75-b413-4ebd-aeb8-31c81c8bf237-ardian-private-equity-investor-relations-france-fundraising-sales-stage-janvier-2027-paris-h-f" TargetMode="External"/><Relationship Id="rId47" Type="http://schemas.openxmlformats.org/officeDocument/2006/relationships/hyperlink" Target="https://www.jobteaser.com/en/job-offers/f5c868da-0273-42dd-9f74-ae9408f34c59-ardian-investor-relations-client-solution-stage-janvier-2027-i-paris-h-f" TargetMode="External"/><Relationship Id="rId48" Type="http://schemas.openxmlformats.org/officeDocument/2006/relationships/hyperlink" Target="https://ardian.wd103.myworkdayjobs.com/en-US/ArdianCareers/job/Zurich/Fund-Finance-Secondaries---Primaries-Intern---February-2027-I-Zurich--M-F-_JR1002246" TargetMode="External"/><Relationship Id="rId49" Type="http://schemas.openxmlformats.org/officeDocument/2006/relationships/hyperlink" Target="https://ardian.wd103.myworkdayjobs.com/ArdianCareers/job/Zurich/Investor-Relations-Intern---January-2027-I-Zurich_JR1002219" TargetMode="External"/><Relationship Id="rId50" Type="http://schemas.openxmlformats.org/officeDocument/2006/relationships/hyperlink" Target="https://ardian.wd103.myworkdayjobs.com/en-US/ArdianCareers/job/Luxembourg/Corporate-Finance-Intern---January-2027-I-Luxembourg--M-F-_JR1002199" TargetMode="External"/><Relationship Id="rId51" Type="http://schemas.openxmlformats.org/officeDocument/2006/relationships/hyperlink" Target="https://ardian.wd103.myworkdayjobs.com/ArdianCareers/job/London/Infrastructure-Intern---January-2027---London_JR1002078" TargetMode="External"/><Relationship Id="rId52" Type="http://schemas.openxmlformats.org/officeDocument/2006/relationships/hyperlink" Target="https://ardian.wd103.myworkdayjobs.com/en-US/ArdianCareers/job/Milan/Expansion-Intern---January-2027I-Milan--M-F-_JR1002270" TargetMode="External"/><Relationship Id="rId53" Type="http://schemas.openxmlformats.org/officeDocument/2006/relationships/hyperlink" Target="https://ardian.wd103.myworkdayjobs.com/en-US/ArdianCareers/job/Frankfurt/Real-Estate-Private-Equity-Intern---November-2026---Q1-2027----Frankfurt--M-F-_JR1002217" TargetMode="External"/><Relationship Id="rId54" Type="http://schemas.openxmlformats.org/officeDocument/2006/relationships/hyperlink" Target="https://www.jobteaser.com/da/job-offers/75296cde-7907-4adb-8903-a4a42ef08e4b-ardian-infrastructure-private-equity-analyst-internship-h1-2027-frankfurt-m-f" TargetMode="External"/><Relationship Id="rId55" Type="http://schemas.openxmlformats.org/officeDocument/2006/relationships/hyperlink" Target="https://icbpjb.fa.ocs.oraclecloud.com/hcmUI/CandidateExperience/en/sites/CX_2/job/6533" TargetMode="External"/><Relationship Id="rId56" Type="http://schemas.openxmlformats.org/officeDocument/2006/relationships/hyperlink" Target="https://icbpjb.fa.ocs.oraclecloud.com/hcmUI/CandidateExperience/en/sites/CX_2/job/6317" TargetMode="External"/><Relationship Id="rId57" Type="http://schemas.openxmlformats.org/officeDocument/2006/relationships/hyperlink" Target="https://www.brightnetwork.co.uk/graduate-jobs/lazard/financial-advisory-off-cycle-internship-2027" TargetMode="External"/><Relationship Id="rId58" Type="http://schemas.openxmlformats.org/officeDocument/2006/relationships/hyperlink" Target="https://rothschildandco.wd3.myworkdayjobs.com/en-US/Rothschildandco_Lateral/job/Paris/Stage-Private-Equity-Banque-Prive---Janvier-2027_JR016390" TargetMode="External"/><Relationship Id="rId59" Type="http://schemas.openxmlformats.org/officeDocument/2006/relationships/hyperlink" Target="https://rothschildandco.wd3.myworkdayjobs.com/en-US/Rothschildandco_Lateral/job/Paris/Stage-Mandat-Private-Equity-Banque-Prive---Janvier-2027_JR016385" TargetMode="External"/><Relationship Id="rId60" Type="http://schemas.openxmlformats.org/officeDocument/2006/relationships/hyperlink" Target="https://rothschildandco.tal.net/vx/lang-en-GB/mobile-0/appcentre-1/brand-4/candidate/so/pm/1/pl/2/opp/974-Stage-d-Analyste-en-Private-Equity-Secondaire-FASO-Janvier-Mars-2027/en-GB" TargetMode="External"/><Relationship Id="rId61" Type="http://schemas.openxmlformats.org/officeDocument/2006/relationships/hyperlink" Target="https://www.rothschildandco.com/en/careers/students-and-graduates/opportunities/ga-long-term-internship-sovereign-advisory-janviermars-2027/" TargetMode="External"/><Relationship Id="rId62" Type="http://schemas.openxmlformats.org/officeDocument/2006/relationships/hyperlink" Target="https://www.rothschildandco.com/en/careers/students-and-graduates/opportunities/ga-stage-infrastructure-debt-advisory-global-advisory-janvier-2027/" TargetMode="External"/><Relationship Id="rId63" Type="http://schemas.openxmlformats.org/officeDocument/2006/relationships/hyperlink" Target="https://www.rothschildandco.com/en/careers/students-and-graduates/opportunities/germany-frankfurt-global-markets-solutions-january-internship-2027/" TargetMode="External"/><Relationship Id="rId64" Type="http://schemas.openxmlformats.org/officeDocument/2006/relationships/hyperlink" Target="https://www.rothschildandco.com/en/careers/students-and-graduates/opportunities/2027-uk-global-advisory-off-cycle-internship/" TargetMode="External"/><Relationship Id="rId65" Type="http://schemas.openxmlformats.org/officeDocument/2006/relationships/hyperlink" Target="https://www.rothschildandco.com/en/careers/students-and-graduates/opportunities/global-advisory-internship-poland-2027/" TargetMode="External"/><Relationship Id="rId66" Type="http://schemas.openxmlformats.org/officeDocument/2006/relationships/hyperlink" Target="https://www.rothschildandco.com/en/careers/experienced-professionals/vacancies/administrative--finance-intern--five-arrows---luxembourg--march-2027/" TargetMode="External"/><Relationship Id="rId67" Type="http://schemas.openxmlformats.org/officeDocument/2006/relationships/hyperlink" Target="https://www.efinancialcareers.com/jobs-Luxembourg-Luxembourg-Stage_Fund_Controlling_Luxembourg_-_Janvier_2027_Internship_-_6_months.id24844426" TargetMode="External"/><Relationship Id="rId68" Type="http://schemas.openxmlformats.org/officeDocument/2006/relationships/hyperlink" Target="https://www.rothschildandco.com/en/careers/experienced-professionals/vacancies/stage-comptabilite-et-reporting-luxembourg--janvier-2027-internship--6-months/" TargetMode="External"/><Relationship Id="rId69" Type="http://schemas.openxmlformats.org/officeDocument/2006/relationships/hyperlink" Target="https://jobs.smartrecruiters.com/revaia/735da8ff-e5a9-4ea8-9d48-b8e156aba2b6" TargetMode="External"/><Relationship Id="rId70" Type="http://schemas.openxmlformats.org/officeDocument/2006/relationships/hyperlink" Target="https://jobs.smartrecruiters.com/revaia/31f3abd4-7f54-4eb0-a4e6-74b44df3c2dc" TargetMode="External"/><Relationship Id="rId71" Type="http://schemas.openxmlformats.org/officeDocument/2006/relationships/hyperlink" Target="https://job-boards.greenhouse.io/theriversidecompany/jobs/8622619002" TargetMode="External"/><Relationship Id="rId72" Type="http://schemas.openxmlformats.org/officeDocument/2006/relationships/hyperlink" Target="https://careers.paipartners.com/o/esg-internship-paris-6-months-starting-january-2027" TargetMode="External"/><Relationship Id="rId73" Type="http://schemas.openxmlformats.org/officeDocument/2006/relationships/hyperlink" Target="https://careers.paipartners.com/o/paris-investment-group-internship-6-months-start-in-mar-2027" TargetMode="External"/><Relationship Id="rId74" Type="http://schemas.openxmlformats.org/officeDocument/2006/relationships/hyperlink" Target="https://careers.paipartners.com/o/london-investment-group-internship-6-months-h1-27" TargetMode="External"/><Relationship Id="rId75" Type="http://schemas.openxmlformats.org/officeDocument/2006/relationships/hyperlink" Target="https://careers.paipartners.com/o/dealcloud-internship-london-6-months" TargetMode="External"/><Relationship Id="rId76" Type="http://schemas.openxmlformats.org/officeDocument/2006/relationships/hyperlink" Target="https://careers.paipartners.com/o/esg-internship-london-6-months" TargetMode="External"/><Relationship Id="rId77" Type="http://schemas.openxmlformats.org/officeDocument/2006/relationships/hyperlink" Target="https://jobs.partnersgroup.com/job/Baar-6-month-Internship-Private-Equity-Directs%2C-Services/1445897233/" TargetMode="External"/><Relationship Id="rId78" Type="http://schemas.openxmlformats.org/officeDocument/2006/relationships/hyperlink" Target="https://www.waterlandpe.com/es/career/3-3-private-equity-internship/" TargetMode="External"/><Relationship Id="rId79" Type="http://schemas.openxmlformats.org/officeDocument/2006/relationships/hyperlink" Target="https://jobup.ch/en/jobs/detail/c275324e-e396-44d9-a991-619e609f3260" TargetMode="External"/><Relationship Id="rId80" Type="http://schemas.openxmlformats.org/officeDocument/2006/relationships/hyperlink" Target="https://builtinlondon.uk/job/private-equity-cycle-internship-investment-team-capital-partnerships/11450488" TargetMode="External"/><Relationship Id="rId81" Type="http://schemas.openxmlformats.org/officeDocument/2006/relationships/hyperlink" Target="https://builtinlondon.uk/job/private-equity-cycle-internship-investment-team-capital-solutions/11450468" TargetMode="External"/><Relationship Id="rId82" Type="http://schemas.openxmlformats.org/officeDocument/2006/relationships/hyperlink" Target="https://www.studentjob.co.uk/vacancies/6900059-london-private-equity-off-cycle-internship" TargetMode="External"/><Relationship Id="rId83" Type="http://schemas.openxmlformats.org/officeDocument/2006/relationships/hyperlink" Target="https://blackstone.wd1.myworkdayjobs.com/Blackstone_Campus_Careers/job/London/XMLNAME-2027-Blackstone-Strategic-Partners-Off-Cycle-Intern--London-_45297" TargetMode="External"/><Relationship Id="rId84" Type="http://schemas.openxmlformats.org/officeDocument/2006/relationships/hyperlink" Target="https://tikehau-capital-career.talentview.io/jobs/ejtlql" TargetMode="External"/><Relationship Id="rId85" Type="http://schemas.openxmlformats.org/officeDocument/2006/relationships/hyperlink" Target="https://tikehau-capital-career.talentview.io/jobs/fnm2v5" TargetMode="External"/><Relationship Id="rId86" Type="http://schemas.openxmlformats.org/officeDocument/2006/relationships/hyperlink" Target="https://tikehau-capital-career.talentview.io/jobs/mwd8g3" TargetMode="External"/><Relationship Id="rId87" Type="http://schemas.openxmlformats.org/officeDocument/2006/relationships/hyperlink" Target="https://tikehau-capital-career.talentview.io/jobs/mqnxyn" TargetMode="External"/><Relationship Id="rId88" Type="http://schemas.openxmlformats.org/officeDocument/2006/relationships/hyperlink" Target="https://tikehau-capital-career.talentview.io/jobs/vnedod" TargetMode="External"/><Relationship Id="rId89" Type="http://schemas.openxmlformats.org/officeDocument/2006/relationships/hyperlink" Target="https://astorg.pinpointhq.com/en/postings/586c176e-88f8-43e2-9caf-fcb5deeb14aa" TargetMode="External"/><Relationship Id="rId90" Type="http://schemas.openxmlformats.org/officeDocument/2006/relationships/hyperlink" Target="https://pru.wd5.myworkdayjobs.com/PGIM_Careers/job/Frankfurt-Germany/PGIM---Intern--Real-Estate-Private-Equity-Portfolio-Management--all-genders--as-of-Q1-2027--Based-in-Frankfurt_R-125016-1" TargetMode="External"/><Relationship Id="rId91" Type="http://schemas.openxmlformats.org/officeDocument/2006/relationships/hyperlink" Target="https://ikpartners.recruitee.com/o/off-cycle-analyst-intern-amsterdam" TargetMode="External"/><Relationship Id="rId92" Type="http://schemas.openxmlformats.org/officeDocument/2006/relationships/hyperlink" Target="https://www.efinancialcareers.com/jobs-France-Paris-Strategy_Consultant_Internship_-_Private_Equity_-_Paris_-_FH_January_2027.id24426793" TargetMode="External"/><Relationship Id="rId93" Type="http://schemas.openxmlformats.org/officeDocument/2006/relationships/hyperlink" Target="https://www.jobteaser.com/en/job-offers/ffd3a556-3ca5-467f-a011-3472bbae11af-oddo-bhf-stage-corporate-development-m-a-janvier-2027" TargetMode="External"/><Relationship Id="rId94" Type="http://schemas.openxmlformats.org/officeDocument/2006/relationships/hyperlink" Target="https://barclays.wd3.myworkdayjobs.com/External_Career_Site_Barclays/job/Frankfurt-Taunus-Turm/Capital-Markets-Off-Cycle-Internship-Programme-2027-Frankfurt_JR-0000124472-1" TargetMode="External"/><Relationship Id="rId95" Type="http://schemas.openxmlformats.org/officeDocument/2006/relationships/hyperlink" Target="https://barclays.wd3.myworkdayjobs.com/External_Career_Site_Barclays/job/The-Medelan-Building-Milan/Capital-Markets-Off-Cycle-Internship-Programme-2027-Milan_JR-0000124900" TargetMode="External"/><Relationship Id="rId96" Type="http://schemas.openxmlformats.org/officeDocument/2006/relationships/hyperlink" Target="https://barclays.wd3.myworkdayjobs.com/External_Career_Site_Barclays/job/Paris-Origami/Capital-Markets-Off-Cycle-Internship-Programme-2027-Paris_JR-0000124479" TargetMode="External"/><Relationship Id="rId97" Type="http://schemas.openxmlformats.org/officeDocument/2006/relationships/hyperlink" Target="https://barclays.wd3.myworkdayjobs.com/External_Career_Site_Barclays/job/Stockholm-Katthavet/Capital-Markets-Off-Cycle-Internship-Programme-2027-Stockholm_JR-0000124627" TargetMode="External"/><Relationship Id="rId98" Type="http://schemas.openxmlformats.org/officeDocument/2006/relationships/hyperlink" Target="https://barclays.wd3.myworkdayjobs.com/External_Career_Site_Barclays/job/Paris-52-avenue-Hoche/Banking-Off-Cycle-Internship-Programme-2027-Paris_JR-0000124856" TargetMode="External"/><Relationship Id="rId99" Type="http://schemas.openxmlformats.org/officeDocument/2006/relationships/hyperlink" Target="https://barclays.wd3.myworkdayjobs.com/External_Career_Site_Barclays/job/Frankfurt-Taunus-Turm/Banking-Off-Cycle-Internship-Programme-2027-Frankfurt_JR-0000124702-1" TargetMode="External"/><Relationship Id="rId100" Type="http://schemas.openxmlformats.org/officeDocument/2006/relationships/hyperlink" Target="https://barclays.wd3.myworkdayjobs.com/External_Career_Site_Barclays/job/Amsterdam-SOM-Building/Banking-Off-Cycle-Internship-Programme-2027-Amsterdam_JR-0000124409" TargetMode="External"/><Relationship Id="rId101" Type="http://schemas.openxmlformats.org/officeDocument/2006/relationships/hyperlink" Target="https://barclays.wd3.myworkdayjobs.com/External_Career_Site_Barclays/job/Frankfurt-Taunus-Turm/International-Corporate-Banking-Off-Cycle-Internship-Programme-2027-Frankfurt_JR-0000124063-1" TargetMode="External"/><Relationship Id="rId102" Type="http://schemas.openxmlformats.org/officeDocument/2006/relationships/hyperlink" Target="https://barclays.wd3.myworkdayjobs.com/External_Career_Site_Barclays/job/Paris-52-avenue-Hoche/Quantitative-Analytics-Associate-Off-Cycle-Internship-Programme-2027-Paris_JR-0000124726" TargetMode="External"/><Relationship Id="rId103" Type="http://schemas.openxmlformats.org/officeDocument/2006/relationships/hyperlink" Target="https://www.evercore.com/careers/students-graduates/" TargetMode="External"/><Relationship Id="rId104" Type="http://schemas.openxmlformats.org/officeDocument/2006/relationships/hyperlink" Target="https://evercore.tal.net/vx/lang-en-GB/mobile-0/channel-1/appcentre-1/brand-6/candidate/so/pm/1/pl/2/opp/3084-Madrid-Off-Cycle-Internship-Jan-June-2027/en-GB" TargetMode="External"/><Relationship Id="rId105" Type="http://schemas.openxmlformats.org/officeDocument/2006/relationships/hyperlink" Target="https://evercore.tal.net/vx/lang-en-GB/mobile-0/channel-1/appcentre-1/brand-6/candidate/so/pm/1/pl/2/opp/3293-Milan-Off-Cycle-Internship-Generalist-Team-January-June-2027/en-GB" TargetMode="External"/><Relationship Id="rId106" Type="http://schemas.openxmlformats.org/officeDocument/2006/relationships/hyperlink" Target="https://higher.gs.com/roles/174854_GS_CAMPUS" TargetMode="External"/><Relationship Id="rId107" Type="http://schemas.openxmlformats.org/officeDocument/2006/relationships/hyperlink" Target="https://higher.gs.com/roles/166820_GS_CAMPUS" TargetMode="External"/><Relationship Id="rId108" Type="http://schemas.openxmlformats.org/officeDocument/2006/relationships/hyperlink" Target="https://higher.gs.com/roles/165357_GS_CAMPUS" TargetMode="External"/><Relationship Id="rId109" Type="http://schemas.openxmlformats.org/officeDocument/2006/relationships/hyperlink" Target="https://higher.gs.com/roles/183954_GS_CAMPUS" TargetMode="External"/><Relationship Id="rId110" Type="http://schemas.openxmlformats.org/officeDocument/2006/relationships/hyperlink" Target="https://higher.gs.com/roles/170877_GS_CAMPUS" TargetMode="External"/><Relationship Id="rId111" Type="http://schemas.openxmlformats.org/officeDocument/2006/relationships/hyperlink" Target="https://higher.gs.com/roles/184906_GS_CAMPUS" TargetMode="External"/><Relationship Id="rId112" Type="http://schemas.openxmlformats.org/officeDocument/2006/relationships/hyperlink" Target="https://higher.gs.com/roles/170840_GS_CAMPUS" TargetMode="External"/><Relationship Id="rId113" Type="http://schemas.openxmlformats.org/officeDocument/2006/relationships/hyperlink" Target="https://higher.gs.com/roles/170835_GS_CAMPUS" TargetMode="External"/><Relationship Id="rId114" Type="http://schemas.openxmlformats.org/officeDocument/2006/relationships/hyperlink" Target="https://higher.gs.com/roles/170857_GS_CAMPUS" TargetMode="External"/><Relationship Id="rId115" Type="http://schemas.openxmlformats.org/officeDocument/2006/relationships/hyperlink" Target="https://higher.gs.com/roles/170841_GS_CAMPUS" TargetMode="External"/><Relationship Id="rId116" Type="http://schemas.openxmlformats.org/officeDocument/2006/relationships/hyperlink" Target="https://higher.gs.com/roles/170908_GS_CAMPUS" TargetMode="External"/><Relationship Id="rId117" Type="http://schemas.openxmlformats.org/officeDocument/2006/relationships/hyperlink" Target="https://higher.gs.com/roles/170905_GS_CAMPUS" TargetMode="External"/><Relationship Id="rId118" Type="http://schemas.openxmlformats.org/officeDocument/2006/relationships/hyperlink" Target="https://higher.gs.com/roles/170838_GS_CAMPUS" TargetMode="External"/><Relationship Id="rId119" Type="http://schemas.openxmlformats.org/officeDocument/2006/relationships/hyperlink" Target="https://higher.gs.com/roles/170833_GS_CAMPUS" TargetMode="External"/><Relationship Id="rId120" Type="http://schemas.openxmlformats.org/officeDocument/2006/relationships/hyperlink" Target="https://higher.gs.com/roles/175429_GS_CAMPUS" TargetMode="External"/><Relationship Id="rId121" Type="http://schemas.openxmlformats.org/officeDocument/2006/relationships/hyperlink" Target="https://higher.gs.com/roles/175430_GS_CAMPUS" TargetMode="External"/><Relationship Id="rId122" Type="http://schemas.openxmlformats.org/officeDocument/2006/relationships/hyperlink" Target="https://hl.wd1.myworkdayjobs.com/Campus/job/Paris-France/XMLNAME-6-Month-Off-Cycle-Internship---Corporate-Finance--M-A-_R3334" TargetMode="External"/><Relationship Id="rId123" Type="http://schemas.openxmlformats.org/officeDocument/2006/relationships/hyperlink" Target="https://hl.wd1.myworkdayjobs.com/Campus/job/Paris-France/XMLNAME-6-month-Internship----Sovereign-Advisory--Financial-Restructuring-Group_R3217-1" TargetMode="External"/><Relationship Id="rId124" Type="http://schemas.openxmlformats.org/officeDocument/2006/relationships/hyperlink" Target="https://hl.wd1.myworkdayjobs.com/Campus/job/Stockholm-Sweden/XMLNAME-6-Month-Off-Cycle-Internship---Corporate-Finance_R3600" TargetMode="External"/><Relationship Id="rId125" Type="http://schemas.openxmlformats.org/officeDocument/2006/relationships/hyperlink" Target="https://hl.wd1.myworkdayjobs.com/Campus/job/Amsterdam-Netherlands/XMLNAME-3-Month-Off-Cycle-Internship---Corporate-Finance_R3560" TargetMode="External"/><Relationship Id="rId126" Type="http://schemas.openxmlformats.org/officeDocument/2006/relationships/hyperlink" Target="https://hl.wd1.myworkdayjobs.com/Campus/job/Zurich-Switzerland/XMLNAME-2027-Corporate-Finance-Internship--4-6-Months----Zurich_R3626" TargetMode="External"/><Relationship Id="rId127" Type="http://schemas.openxmlformats.org/officeDocument/2006/relationships/hyperlink" Target="https://carlsquare-gmbh.jobs.personio.de/job/2660914" TargetMode="External"/><Relationship Id="rId128" Type="http://schemas.openxmlformats.org/officeDocument/2006/relationships/hyperlink" Target="https://carlsquare-gmbh.jobs.personio.de/job/2827292" TargetMode="External"/><Relationship Id="rId129" Type="http://schemas.openxmlformats.org/officeDocument/2006/relationships/hyperlink" Target="https://www.mizuhogroup.com/emea/careers/investment-banking-careers/internship-programme" TargetMode="External"/><Relationship Id="rId130" Type="http://schemas.openxmlformats.org/officeDocument/2006/relationships/hyperlink" Target="https://jobs.ubs.com/TGnewUI/Search/home/HomeWithPreLoad?partnerid=25008&amp;siteid=5131&amp;PageType=searchResults&amp;keywords=off-cycle%20asset%20management" TargetMode="External"/><Relationship Id="rId131" Type="http://schemas.openxmlformats.org/officeDocument/2006/relationships/hyperlink" Target="https://jobs.ubs.com/TGnewUI/Search/home/HomeWithPreLoad?partnerid=25008&amp;siteid=5131&amp;PageType=searchResults&amp;keywords=off-cycle%20investment%20banking%20london" TargetMode="External"/><Relationship Id="rId132" Type="http://schemas.openxmlformats.org/officeDocument/2006/relationships/hyperlink" Target="https://jobs.ubs.com/TGnewUI/Search/home/HomeWithPreLoad?partnerid=25008&amp;siteid=5131&amp;PageType=searchResults&amp;keywords=off-cycle%20banking%20zurich" TargetMode="External"/><Relationship Id="rId133" Type="http://schemas.openxmlformats.org/officeDocument/2006/relationships/hyperlink" Target="https://www.wellsfargojobs.com/en/early-careers/" TargetMode="External"/><Relationship Id="rId134" Type="http://schemas.openxmlformats.org/officeDocument/2006/relationships/hyperlink" Target="https://pipersandler.wd501.myworkdayjobs.com/Piper_Sandler_Careers/job/London/Off-Cycle-Internship-Programme_R-100727" TargetMode="External"/><Relationship Id="rId135" Type="http://schemas.openxmlformats.org/officeDocument/2006/relationships/hyperlink" Target="https://bbva.wd3.myworkdayjobs.com/BBVA/job/28050-MADRID-Madrid/Beca-Off-cycle-M-A-CIB_JR00115430" TargetMode="External"/><Relationship Id="rId136" Type="http://schemas.openxmlformats.org/officeDocument/2006/relationships/hyperlink" Target="https://mediobanca.intervieweb.it/jobs/mediobanca-spain-offcycle-internship-investment-banking-ma-2283/en/" TargetMode="External"/><Relationship Id="rId137" Type="http://schemas.openxmlformats.org/officeDocument/2006/relationships/hyperlink" Target="https://mediobanca.intervieweb.it/jobs/offcycle-internship-dcm-financing-1731/en/" TargetMode="External"/><Relationship Id="rId138" Type="http://schemas.openxmlformats.org/officeDocument/2006/relationships/hyperlink" Target="https://www.efinancialcareers.com/jobs-France-Paris-Off-Cycle_Internship_MA_advisory_January_and_March_2027.id24463049" TargetMode="External"/><Relationship Id="rId139" Type="http://schemas.openxmlformats.org/officeDocument/2006/relationships/hyperlink" Target="https://www.efinancialcareers.com/jobs-France-Paris-2027_Off-Cycle_Internship_Infrastructure_Real_Assets.id24695742" TargetMode="External"/><Relationship Id="rId140" Type="http://schemas.openxmlformats.org/officeDocument/2006/relationships/hyperlink" Target="https://www.efinancialcareers.com/jobs-Germany-Frankfurt_am_Main-Off-Cycle_Internship_Coverage_and_Solutions_2027.id24736095" TargetMode="External"/><Relationship Id="rId141" Type="http://schemas.openxmlformats.org/officeDocument/2006/relationships/hyperlink" Target="https://www.efinancialcareers.com/jobs-France-Paris-2027_Global_Corporate_Banking_-_Mid-Cap_-_Off-Cycle_Internship_Program_-_Paris.id24344368" TargetMode="External"/><Relationship Id="rId142" Type="http://schemas.openxmlformats.org/officeDocument/2006/relationships/hyperlink" Target="https://www.efinancialcareers.com/jobs-Switzerland-Zurich-2027_Global_Corporate_Banking_-_Mid-Cap_-_Off-Cycle_Internship_Program_-_Zurich.id24343803" TargetMode="External"/><Relationship Id="rId143" Type="http://schemas.openxmlformats.org/officeDocument/2006/relationships/hyperlink" Target="http://www.lincolninternational.com/greenhouse/?gh_jid=8156739" TargetMode="External"/><Relationship Id="rId144" Type="http://schemas.openxmlformats.org/officeDocument/2006/relationships/hyperlink" Target="http://www.lincolninternational.com/greenhouse/?gh_jid=8255813" TargetMode="External"/><Relationship Id="rId145" Type="http://schemas.openxmlformats.org/officeDocument/2006/relationships/hyperlink" Target="https://mufgub.wd3.myworkdayjobs.com/MUFG-Careers/job/Paris/XMLNAME-6-month-internship---Debt-Capital-Markets-Bonds---Loans---January-2027_10080029-WD" TargetMode="External"/><Relationship Id="rId146" Type="http://schemas.openxmlformats.org/officeDocument/2006/relationships/hyperlink" Target="https://mufgub.wd3.myworkdayjobs.com/MUFG-Careers/job/Amsterdam/XMLNAME-2027-MUFG-6-month-Amsterdam-internship--Japanese-Corporate-Banking-Division_10079926-WD" TargetMode="External"/><Relationship Id="rId147" Type="http://schemas.openxmlformats.org/officeDocument/2006/relationships/hyperlink" Target="https://home.cib.natixis.com/shape-your-career" TargetMode="External"/><Relationship Id="rId148" Type="http://schemas.openxmlformats.org/officeDocument/2006/relationships/hyperlink" Target="https://www.efinancialcareers.com/jobs-France-Paris-Internship_-_Junior_Financial_Analyst_Janvier_2027.id24746352" TargetMode="External"/><Relationship Id="rId149" Type="http://schemas.openxmlformats.org/officeDocument/2006/relationships/hyperlink" Target="https://citi.wd5.myworkdayjobs.com/2/job/Amsterdam--Netherlands/Banking--Corporate-Banking--Placement-Analyst--Amsterdam---The-Netherlands--2027--January--June-Start-_26994569" TargetMode="External"/><Relationship Id="rId150" Type="http://schemas.openxmlformats.org/officeDocument/2006/relationships/hyperlink" Target="https://citi.wd5.myworkdayjobs.com/2/job/Zurich--Switzerland/Banking--Investment-Banking--Placement-Analyst--Zurich--Switzerland-2027---January-Intake_26997502" TargetMode="External"/><Relationship Id="rId151" Type="http://schemas.openxmlformats.org/officeDocument/2006/relationships/hyperlink" Target="https://jefferies.tal.net/vx/lang-en-GB/mobile-0/appcentre-1/brand-4/candidate/so/pm/1/pl/2/opp/1952-2027-Investment-Banking-Off-Cycle-Internship-Zurich-Q1/en-GB" TargetMode="External"/><Relationship Id="rId152" Type="http://schemas.openxmlformats.org/officeDocument/2006/relationships/hyperlink" Target="https://jefferies.tal.net/vx/lang-en-GB/mobile-0/appcentre-1/brand-4/candidate/so/pm/1/pl/2/opp/2010-2027-Investment-Banking-Off-Cycle-Internship-Milan-Q1-February-Start/en-GB" TargetMode="External"/><Relationship Id="rId153" Type="http://schemas.openxmlformats.org/officeDocument/2006/relationships/hyperlink" Target="https://alantra.wd3.myworkdayjobs.com/Alantra/job/Germany---Frankfurt/Investment-Banking--Q1-2027-M-A-Intern--Frankfurt--Germany-_JR466" TargetMode="External"/><Relationship Id="rId154" Type="http://schemas.openxmlformats.org/officeDocument/2006/relationships/hyperlink" Target="https://www.kkr.com/careers/student-careers/student-career-opportunities/post?gh_jid=6219494004" TargetMode="External"/><Relationship Id="rId155" Type="http://schemas.openxmlformats.org/officeDocument/2006/relationships/hyperlink" Target="https://www.jobteaser.com/en/job-offers/bcdc6a5a-c417-4d04-b6a7-80907ed2eded-eurazeo-internship-infrastructure-paris-s1-2027" TargetMode="External"/><Relationship Id="rId156" Type="http://schemas.openxmlformats.org/officeDocument/2006/relationships/hyperlink" Target="https://www.jobteaser.com/en/job-offers/8d4f900c-5368-4dea-a2e1-f4d5097496d7-eurazeo-internship-growth-paris-s1-2027" TargetMode="External"/><Relationship Id="rId157" Type="http://schemas.openxmlformats.org/officeDocument/2006/relationships/hyperlink" Target="https://www.jobteaser.com/en/job-offers/3c174f2f-49a6-4fa7-a9dc-317fcdc64d45-eurazeo-internship-investor-relations-direct-transactions-paris-s1-2027" TargetMode="External"/><Relationship Id="rId158" Type="http://schemas.openxmlformats.org/officeDocument/2006/relationships/hyperlink" Target="https://www.jobteaser.com/en/job-offers/79262d72-3ffe-4f23-b650-39262a17e5ab-eurazeo-stage-real-estate-paris-s1-2027" TargetMode="External"/><Relationship Id="rId159" Type="http://schemas.openxmlformats.org/officeDocument/2006/relationships/hyperlink" Target="https://group.bnpparibas/en/careers/job-offer/trainee-fixed-income-analyst" TargetMode="External"/><Relationship Id="rId160" Type="http://schemas.openxmlformats.org/officeDocument/2006/relationships/hyperlink" Target="https://group.bnpparibas/en/careers/job-offer/financial-international-markets-trainee" TargetMode="External"/><Relationship Id="rId161" Type="http://schemas.openxmlformats.org/officeDocument/2006/relationships/hyperlink" Target="https://accenture.wd103.myworkdayjobs.com/AccentureCareers/job/Lisbon/Consulting-Graduate-Programme---January-2027_R00359243" TargetMode="External"/><Relationship Id="rId162" Type="http://schemas.openxmlformats.org/officeDocument/2006/relationships/hyperlink" Target="https://eyglobal.yello.co/jobs/jBhzN3GbGmjPCRf1aQIYwA?job_board_id=c1riT--B2O-KySgYWsZO1Q&amp;locale=fr" TargetMode="External"/><Relationship Id="rId163" Type="http://schemas.openxmlformats.org/officeDocument/2006/relationships/hyperlink" Target="https://mastercard.wd1.myworkdayjobs.com/CorporateCareers/job/Lisbon-Portugal/Global-Markets--Graduate-Launch-Program-2027---Lisbon--Portugal_R-287705-2" TargetMode="External"/><Relationship Id="rId164" Type="http://schemas.openxmlformats.org/officeDocument/2006/relationships/hyperlink" Target="https://careers.jeronimomartins.com/job/Lisboa-Programa-de-Trainees-2027-1649-033/1369534955/" TargetMode="External"/><Relationship Id="rId165" Type="http://schemas.openxmlformats.org/officeDocument/2006/relationships/hyperlink" Target="https://www.ccep.jobs/pt/vaga/-/-/1299/45312633152" TargetMode="External"/><Relationship Id="rId166" Type="http://schemas.openxmlformats.org/officeDocument/2006/relationships/hyperlink" Target="https://www.cp.pt/info/w/institucional/recrutamento-cp-trainup" TargetMode="External"/><Relationship Id="rId167" Type="http://schemas.openxmlformats.org/officeDocument/2006/relationships/hyperlink" Target="https://trainees.pt/tap/" TargetMode="External"/><Relationship Id="rId168" Type="http://schemas.openxmlformats.org/officeDocument/2006/relationships/hyperlink" Target="https://auchanportugal.wd3.myworkdayjobs.com/pt-BR/auchan-retail/job/Grande-Lisboa/Empower-Trainee-Program---Grande-Lisboa_ID-26219" TargetMode="External"/><Relationship Id="rId169" Type="http://schemas.openxmlformats.org/officeDocument/2006/relationships/hyperlink" Target="https://www.astrazeneca.pt/programa-de-trainees-life-changers.html" TargetMode="External"/><Relationship Id="rId170" Type="http://schemas.openxmlformats.org/officeDocument/2006/relationships/hyperlink" Target="https://carreiras.sumolcompal.pt/content/Programas-de-Estagio/?locale=pt_PT" TargetMode="External"/><Relationship Id="rId171" Type="http://schemas.openxmlformats.org/officeDocument/2006/relationships/hyperlink" Target="https://www.iagora.com/work/en/offer/internship-portugal-management/6450046" TargetMode="External"/><Relationship Id="rId172" Type="http://schemas.openxmlformats.org/officeDocument/2006/relationships/hyperlink" Target="https://recrutamento.cgd.pt/job/Trainee-Mercados-Financeiros/1373073557/" TargetMode="External"/><Relationship Id="rId173" Type="http://schemas.openxmlformats.org/officeDocument/2006/relationships/hyperlink" Target="https://www.linkedin.com/jobs/view/4471754745" TargetMode="External"/><Relationship Id="rId174" Type="http://schemas.openxmlformats.org/officeDocument/2006/relationships/hyperlink" Target="https://santander.wd3.myworkdayjobs.com/SantanderCareers/job/Estgio---rea-de-Universidades--Evergreen-_Req1588277" TargetMode="External"/><Relationship Id="rId175" Type="http://schemas.openxmlformats.org/officeDocument/2006/relationships/hyperlink" Target="https://santander.wd3.myworkdayjobs.com/en-US/SantanderCareers/job/Lisboa/Estgio-Comunicao---Gesto-de-Projetos-de-Experincia_Req1598724" TargetMode="External"/><Relationship Id="rId176" Type="http://schemas.openxmlformats.org/officeDocument/2006/relationships/hyperlink" Target="https://www.iagora.com/work/en/offer/internship-portugal-government/6197237" TargetMode="External"/><Relationship Id="rId177" Type="http://schemas.openxmlformats.org/officeDocument/2006/relationships/hyperlink" Target="https://www.iagora.com/work/en/offer/internship-portugal-finance/6221721" TargetMode="External"/><Relationship Id="rId178" Type="http://schemas.openxmlformats.org/officeDocument/2006/relationships/hyperlink" Target="https://group.bnpparibas/en/careers/job-offer/strategy-and-strategic-investments-trainee" TargetMode="External"/><Relationship Id="rId179" Type="http://schemas.openxmlformats.org/officeDocument/2006/relationships/hyperlink" Target="https://group.bnpparibas/en/careers/job-offer/financial-resources-analytics-intern" TargetMode="External"/><Relationship Id="rId180" Type="http://schemas.openxmlformats.org/officeDocument/2006/relationships/hyperlink" Target="https://bpi.programatrainees.pt/" TargetMode="External"/><Relationship Id="rId181" Type="http://schemas.openxmlformats.org/officeDocument/2006/relationships/hyperlink" Target="https://jobs.deloitte.pt/talentcommunity/apply/1369382655/?locale=pt_PT" TargetMode="External"/><Relationship Id="rId182" Type="http://schemas.openxmlformats.org/officeDocument/2006/relationships/hyperlink" Target="https://jobs.deloitte.pt/job/Lisboa-Candidatura-Espont&#226;nea/1353167355/" TargetMode="External"/><Relationship Id="rId183" Type="http://schemas.openxmlformats.org/officeDocument/2006/relationships/hyperlink" Target="https://kpmg.com/pt/pt/carreiras/estagios.html" TargetMode="External"/><Relationship Id="rId184" Type="http://schemas.openxmlformats.org/officeDocument/2006/relationships/hyperlink" Target="https://www.pwc.pt/pt/carreiras/recrutamento-anual.html" TargetMode="External"/><Relationship Id="rId185" Type="http://schemas.openxmlformats.org/officeDocument/2006/relationships/hyperlink" Target="https://eyglobal.yello.co/job_boards/c1riT--B2O-KySgYWsZO1Q?locale=en" TargetMode="External"/><Relationship Id="rId186" Type="http://schemas.openxmlformats.org/officeDocument/2006/relationships/hyperlink" Target="https://eygbl.referrals.selectminds.com/jobs/est&#225;gios-confirmation-team-lisboa-e-viseu-126148" TargetMode="External"/><Relationship Id="rId187" Type="http://schemas.openxmlformats.org/officeDocument/2006/relationships/hyperlink" Target="https://www.iagora.com/work/en/offer/internship-portugal-finance/6489576" TargetMode="External"/><Relationship Id="rId188" Type="http://schemas.openxmlformats.org/officeDocument/2006/relationships/hyperlink" Target="https://www.iagora.com/work/en/offer/internship-portugal-finance/6483970" TargetMode="External"/><Relationship Id="rId189" Type="http://schemas.openxmlformats.org/officeDocument/2006/relationships/hyperlink" Target="https://www.iagora.com/work/en/offer/internship-portugal-finance/6481443" TargetMode="External"/><Relationship Id="rId190" Type="http://schemas.openxmlformats.org/officeDocument/2006/relationships/hyperlink" Target="https://www.euronext.com/en/about/careers/early-careers-euronext" TargetMode="External"/><Relationship Id="rId191" Type="http://schemas.openxmlformats.org/officeDocument/2006/relationships/hyperlink" Target="https://www.iagora.com/work/en/offer/VIE-portugal-finance/6499059" TargetMode="External"/><Relationship Id="rId192" Type="http://schemas.openxmlformats.org/officeDocument/2006/relationships/hyperlink" Target="https://www.iagora.com/work/en/offer/VIE-portugal-finance/6438503" TargetMode="External"/><Relationship Id="rId193" Type="http://schemas.openxmlformats.org/officeDocument/2006/relationships/hyperlink" Target="https://www.iagora.com/work/en/offer/internship-portugal-finance/6390557" TargetMode="External"/><Relationship Id="rId194" Type="http://schemas.openxmlformats.org/officeDocument/2006/relationships/hyperlink" Target="https://www.iagora.com/work/en/offer/internship-portugal-finance/6410318" TargetMode="External"/><Relationship Id="rId195" Type="http://schemas.openxmlformats.org/officeDocument/2006/relationships/hyperlink" Target="https://www.iagora.com/work/en/offer/internship-portugal-finance/6438579" TargetMode="External"/><Relationship Id="rId196" Type="http://schemas.openxmlformats.org/officeDocument/2006/relationships/hyperlink" Target="https://www.iagora.com/work/en/offer/internship-portugal-finance/6400205" TargetMode="External"/><Relationship Id="rId197" Type="http://schemas.openxmlformats.org/officeDocument/2006/relationships/hyperlink" Target="https://www.iagora.com/work/en/offer/internship-portugal-finance/6482687" TargetMode="External"/><Relationship Id="rId198" Type="http://schemas.openxmlformats.org/officeDocument/2006/relationships/hyperlink" Target="https://www.iagora.com/work/en/offer/internship-portugal-finance/6466486" TargetMode="External"/><Relationship Id="rId199" Type="http://schemas.openxmlformats.org/officeDocument/2006/relationships/hyperlink" Target="https://www.iagora.com/work/en/offer/internship-portugal-finance/6409011" TargetMode="External"/><Relationship Id="rId200" Type="http://schemas.openxmlformats.org/officeDocument/2006/relationships/hyperlink" Target="https://www.iagora.com/work/en/offer/internship-portugal-finance/6447427" TargetMode="External"/><Relationship Id="rId201" Type="http://schemas.openxmlformats.org/officeDocument/2006/relationships/hyperlink" Target="https://estagiar.pt/unlocker-junior-controller/" TargetMode="External"/><Relationship Id="rId202" Type="http://schemas.openxmlformats.org/officeDocument/2006/relationships/hyperlink" Target="https://estagiar.pt/unlocker-trainee-analista-de-pricing/" TargetMode="External"/><Relationship Id="rId203" Type="http://schemas.openxmlformats.org/officeDocument/2006/relationships/hyperlink" Target="https://recrutamento.cofidis.pt/pt/next-generation/generation-pro-2026.html" TargetMode="External"/><Relationship Id="rId204" Type="http://schemas.openxmlformats.org/officeDocument/2006/relationships/hyperlink" Target="https://talentojovem.com/fidelidade/" TargetMode="External"/><Relationship Id="rId205" Type="http://schemas.openxmlformats.org/officeDocument/2006/relationships/hyperlink" Target="https://www.generalitranquilidade.pt/generali-tranquilidade/recursos-humanos/programas-talento-jovem" TargetMode="External"/><Relationship Id="rId206" Type="http://schemas.openxmlformats.org/officeDocument/2006/relationships/hyperlink" Target="https://wewantyou.pt/" TargetMode="External"/><Relationship Id="rId207" Type="http://schemas.openxmlformats.org/officeDocument/2006/relationships/hyperlink" Target="https://www.forvismazars.com/pt/en/join-us/job-offers/talent-graduate-2026" TargetMode="External"/><Relationship Id="rId208" Type="http://schemas.openxmlformats.org/officeDocument/2006/relationships/hyperlink" Target="https://bdo-portugal.factorialhr.pt/job_posting/trainees-setembro-2026-294658" TargetMode="External"/><Relationship Id="rId209" Type="http://schemas.openxmlformats.org/officeDocument/2006/relationships/hyperlink" Target="https://www.bakertilly.pt/careers" TargetMode="External"/><Relationship Id="rId210" Type="http://schemas.openxmlformats.org/officeDocument/2006/relationships/hyperlink" Target="https://trainees.pt/novobanco/" TargetMode="External"/><Relationship Id="rId211" Type="http://schemas.openxmlformats.org/officeDocument/2006/relationships/hyperlink" Target="https://bpi.programatrainees.pt/" TargetMode="External"/><Relationship Id="rId212" Type="http://schemas.openxmlformats.org/officeDocument/2006/relationships/hyperlink" Target="https://www.creditoagricola.pt/institucional/recursos-humanos/candidaturas-ca-educa-2026" TargetMode="External"/><Relationship Id="rId213" Type="http://schemas.openxmlformats.org/officeDocument/2006/relationships/hyperlink" Target="https://edp.com/pt/carreiras/oportunidades-de-emprego/iniciar-a-carreira/edp-global-graduate-program" TargetMode="External"/><Relationship Id="rId214" Type="http://schemas.openxmlformats.org/officeDocument/2006/relationships/hyperlink" Target="https://www.galp.com/corp/pt/pessoas/talento-jovem/generation-galp" TargetMode="External"/><Relationship Id="rId215" Type="http://schemas.openxmlformats.org/officeDocument/2006/relationships/hyperlink" Target="https://talentportugal.com/programa-de-trainees/vodafone-futurered/" TargetMode="External"/><Relationship Id="rId216" Type="http://schemas.openxmlformats.org/officeDocument/2006/relationships/hyperlink" Target="https://talentportugal.com/programa-de-trainees/ctt-programa-de-trainees-2026/" TargetMode="External"/><Relationship Id="rId217" Type="http://schemas.openxmlformats.org/officeDocument/2006/relationships/hyperlink" Target="https://estagiar.pt/bnp-paribas-personal-finance-abre-candidaturas-para-nova-edicao-do-rising-talents/" TargetMode="External"/><Relationship Id="rId218" Type="http://schemas.openxmlformats.org/officeDocument/2006/relationships/hyperlink" Target="https://www.dhl.com/pt-pt/home/cadeia-de-fornecimento/sobre-nos/carreiras-na-cadeia-de-abastecimento-dhl/oportunidades-de-carreira-na-cadeia-de-abastecimento-dhl.html" TargetMode="External"/><Relationship Id="rId219" Type="http://schemas.openxmlformats.org/officeDocument/2006/relationships/hyperlink" Target="https://builtin.com/job/finance-intern-trainee/11618695" TargetMode="External"/><Relationship Id="rId220" Type="http://schemas.openxmlformats.org/officeDocument/2006/relationships/hyperlink" Target="https://builtin.com/job/finance-internship/11572716" TargetMode="External"/><Relationship Id="rId221" Type="http://schemas.openxmlformats.org/officeDocument/2006/relationships/hyperlink" Target="https://careers.feedzai.com/job_description?gh_jid=8223376" TargetMode="External"/><Relationship Id="rId222" Type="http://schemas.openxmlformats.org/officeDocument/2006/relationships/hyperlink" Target="https://www.portugalventures.pt/" TargetMode="External"/><Relationship Id="rId223" Type="http://schemas.openxmlformats.org/officeDocument/2006/relationships/hyperlink" Target="https://www.armilar.com/contact" TargetMode="External"/><Relationship Id="rId224" Type="http://schemas.openxmlformats.org/officeDocument/2006/relationships/hyperlink" Target="https://www.indicocapital.com/contacts" TargetMode="External"/><Relationship Id="rId225" Type="http://schemas.openxmlformats.org/officeDocument/2006/relationships/hyperlink" Target="https://www.bpfomento.pt/pt/bolsa-de-emprego/" TargetMode="External"/><Relationship Id="rId226" Type="http://schemas.openxmlformats.org/officeDocument/2006/relationships/drawing" Target="../drawings/drawing3.xml"/><Relationship Id="rId227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00"/>
  </cols>
  <sheetData>
    <row r="1" customFormat="false" ht="22.5" hidden="false" customHeight="true" outlineLevel="0" collapsed="false">
      <c r="B1" s="2" t="s">
        <v>0</v>
      </c>
    </row>
    <row r="2" customFormat="false" ht="43.5" hidden="false" customHeight="true" outlineLevel="0" collapsed="false">
      <c r="B2" s="3" t="s">
        <v>1</v>
      </c>
      <c r="C2" s="3"/>
    </row>
    <row r="4" customFormat="false" ht="14.25" hidden="false" customHeight="true" outlineLevel="0" collapsed="false">
      <c r="B4" s="4" t="s">
        <v>2</v>
      </c>
      <c r="C4" s="5"/>
    </row>
    <row r="5" customFormat="false" ht="30" hidden="false" customHeight="true" outlineLevel="0" collapsed="false">
      <c r="B5" s="6" t="s">
        <v>3</v>
      </c>
      <c r="C5" s="7" t="s">
        <v>4</v>
      </c>
    </row>
    <row r="6" customFormat="false" ht="30" hidden="false" customHeight="true" outlineLevel="0" collapsed="false">
      <c r="B6" s="6" t="s">
        <v>5</v>
      </c>
      <c r="C6" s="7" t="s">
        <v>6</v>
      </c>
    </row>
    <row r="7" customFormat="false" ht="43.5" hidden="false" customHeight="true" outlineLevel="0" collapsed="false">
      <c r="B7" s="6" t="s">
        <v>7</v>
      </c>
      <c r="C7" s="7" t="s">
        <v>8</v>
      </c>
    </row>
    <row r="8" customFormat="false" ht="30" hidden="false" customHeight="true" outlineLevel="0" collapsed="false">
      <c r="B8" s="6" t="s">
        <v>9</v>
      </c>
      <c r="C8" s="7" t="s">
        <v>10</v>
      </c>
    </row>
    <row r="9" customFormat="false" ht="43.5" hidden="false" customHeight="true" outlineLevel="0" collapsed="false">
      <c r="B9" s="6" t="s">
        <v>11</v>
      </c>
      <c r="C9" s="7" t="s">
        <v>12</v>
      </c>
    </row>
    <row r="11" customFormat="false" ht="14.25" hidden="false" customHeight="true" outlineLevel="0" collapsed="false">
      <c r="B11" s="4" t="s">
        <v>13</v>
      </c>
      <c r="C11" s="5"/>
    </row>
    <row r="12" customFormat="false" ht="30" hidden="false" customHeight="true" outlineLevel="0" collapsed="false">
      <c r="B12" s="6" t="s">
        <v>14</v>
      </c>
      <c r="C12" s="7" t="s">
        <v>15</v>
      </c>
    </row>
    <row r="13" customFormat="false" ht="43.5" hidden="false" customHeight="true" outlineLevel="0" collapsed="false">
      <c r="B13" s="6" t="s">
        <v>16</v>
      </c>
      <c r="C13" s="7" t="s">
        <v>17</v>
      </c>
    </row>
    <row r="14" customFormat="false" ht="57.75" hidden="false" customHeight="true" outlineLevel="0" collapsed="false">
      <c r="B14" s="6" t="s">
        <v>18</v>
      </c>
      <c r="C14" s="7" t="s">
        <v>19</v>
      </c>
    </row>
    <row r="16" customFormat="false" ht="14.25" hidden="false" customHeight="true" outlineLevel="0" collapsed="false">
      <c r="B16" s="4" t="s">
        <v>20</v>
      </c>
      <c r="C16" s="5"/>
    </row>
    <row r="17" customFormat="false" ht="31.5" hidden="false" customHeight="true" outlineLevel="0" collapsed="false">
      <c r="B17" s="6" t="s">
        <v>21</v>
      </c>
      <c r="C17" s="7" t="s">
        <v>22</v>
      </c>
    </row>
    <row r="18" customFormat="false" ht="31.5" hidden="false" customHeight="true" outlineLevel="0" collapsed="false">
      <c r="B18" s="6" t="s">
        <v>23</v>
      </c>
      <c r="C18" s="7" t="s">
        <v>24</v>
      </c>
    </row>
    <row r="19" customFormat="false" ht="31.5" hidden="false" customHeight="true" outlineLevel="0" collapsed="false">
      <c r="B19" s="6" t="s">
        <v>25</v>
      </c>
      <c r="C19" s="7" t="s">
        <v>26</v>
      </c>
    </row>
    <row r="20" customFormat="false" ht="31.5" hidden="false" customHeight="true" outlineLevel="0" collapsed="false">
      <c r="B20" s="6" t="s">
        <v>27</v>
      </c>
      <c r="C20" s="7" t="s">
        <v>28</v>
      </c>
    </row>
    <row r="21" customFormat="false" ht="31.5" hidden="false" customHeight="true" outlineLevel="0" collapsed="false">
      <c r="B21" s="6" t="s">
        <v>29</v>
      </c>
      <c r="C21" s="7" t="s">
        <v>30</v>
      </c>
    </row>
    <row r="22" customFormat="false" ht="31.5" hidden="false" customHeight="true" outlineLevel="0" collapsed="false">
      <c r="B22" s="6" t="s">
        <v>31</v>
      </c>
      <c r="C22" s="7" t="s">
        <v>32</v>
      </c>
    </row>
    <row r="23" customFormat="false" ht="31.5" hidden="false" customHeight="true" outlineLevel="0" collapsed="false">
      <c r="B23" s="6" t="s">
        <v>33</v>
      </c>
      <c r="C23" s="7" t="s">
        <v>34</v>
      </c>
    </row>
    <row r="24" customFormat="false" ht="31.5" hidden="false" customHeight="true" outlineLevel="0" collapsed="false">
      <c r="B24" s="6" t="s">
        <v>35</v>
      </c>
      <c r="C24" s="7" t="s">
        <v>36</v>
      </c>
    </row>
    <row r="25" customFormat="false" ht="31.5" hidden="false" customHeight="true" outlineLevel="0" collapsed="false">
      <c r="B25" s="6" t="s">
        <v>37</v>
      </c>
      <c r="C25" s="7" t="s">
        <v>38</v>
      </c>
    </row>
    <row r="26" customFormat="false" ht="31.5" hidden="false" customHeight="true" outlineLevel="0" collapsed="false">
      <c r="B26" s="6" t="s">
        <v>39</v>
      </c>
      <c r="C26" s="7" t="s">
        <v>40</v>
      </c>
    </row>
    <row r="27" customFormat="false" ht="31.5" hidden="false" customHeight="true" outlineLevel="0" collapsed="false">
      <c r="B27" s="6" t="s">
        <v>41</v>
      </c>
      <c r="C27" s="7" t="s">
        <v>42</v>
      </c>
    </row>
    <row r="28" customFormat="false" ht="31.5" hidden="false" customHeight="true" outlineLevel="0" collapsed="false">
      <c r="B28" s="6" t="s">
        <v>43</v>
      </c>
      <c r="C28" s="7" t="s">
        <v>44</v>
      </c>
    </row>
    <row r="29" customFormat="false" ht="31.5" hidden="false" customHeight="true" outlineLevel="0" collapsed="false">
      <c r="B29" s="6" t="s">
        <v>45</v>
      </c>
      <c r="C29" s="7" t="s">
        <v>46</v>
      </c>
    </row>
    <row r="30" customFormat="false" ht="31.5" hidden="false" customHeight="true" outlineLevel="0" collapsed="false">
      <c r="B30" s="6" t="s">
        <v>47</v>
      </c>
      <c r="C30" s="7" t="s">
        <v>48</v>
      </c>
    </row>
    <row r="32" customFormat="false" ht="14.25" hidden="false" customHeight="true" outlineLevel="0" collapsed="false">
      <c r="B32" s="4" t="s">
        <v>49</v>
      </c>
      <c r="C32" s="5"/>
    </row>
    <row r="33" customFormat="false" ht="31.5" hidden="false" customHeight="true" outlineLevel="0" collapsed="false">
      <c r="B33" s="6" t="s">
        <v>50</v>
      </c>
      <c r="C33" s="7" t="s">
        <v>51</v>
      </c>
    </row>
    <row r="34" customFormat="false" ht="31.5" hidden="false" customHeight="true" outlineLevel="0" collapsed="false">
      <c r="B34" s="6" t="s">
        <v>52</v>
      </c>
      <c r="C34" s="7" t="s">
        <v>53</v>
      </c>
    </row>
    <row r="35" customFormat="false" ht="31.5" hidden="false" customHeight="true" outlineLevel="0" collapsed="false">
      <c r="B35" s="6" t="s">
        <v>54</v>
      </c>
      <c r="C35" s="7" t="s">
        <v>55</v>
      </c>
    </row>
    <row r="36" customFormat="false" ht="31.5" hidden="false" customHeight="true" outlineLevel="0" collapsed="false">
      <c r="B36" s="6" t="s">
        <v>56</v>
      </c>
      <c r="C36" s="7" t="s">
        <v>57</v>
      </c>
    </row>
    <row r="37" customFormat="false" ht="31.5" hidden="false" customHeight="true" outlineLevel="0" collapsed="false">
      <c r="B37" s="6" t="s">
        <v>58</v>
      </c>
      <c r="C37" s="7" t="s">
        <v>59</v>
      </c>
    </row>
    <row r="39" customFormat="false" ht="14.25" hidden="false" customHeight="true" outlineLevel="0" collapsed="false">
      <c r="B39" s="4" t="s">
        <v>60</v>
      </c>
      <c r="C39" s="5"/>
    </row>
    <row r="40" customFormat="false" ht="31.5" hidden="false" customHeight="true" outlineLevel="0" collapsed="false">
      <c r="B40" s="6" t="s">
        <v>61</v>
      </c>
      <c r="C40" s="7" t="s">
        <v>62</v>
      </c>
    </row>
    <row r="41" customFormat="false" ht="31.5" hidden="false" customHeight="true" outlineLevel="0" collapsed="false">
      <c r="B41" s="6" t="s">
        <v>63</v>
      </c>
      <c r="C41" s="7" t="s">
        <v>64</v>
      </c>
    </row>
    <row r="42" customFormat="false" ht="31.5" hidden="false" customHeight="true" outlineLevel="0" collapsed="false">
      <c r="B42" s="6" t="s">
        <v>65</v>
      </c>
      <c r="C42" s="7" t="s">
        <v>66</v>
      </c>
    </row>
    <row r="43" customFormat="false" ht="31.5" hidden="false" customHeight="true" outlineLevel="0" collapsed="false">
      <c r="B43" s="6" t="s">
        <v>67</v>
      </c>
      <c r="C43" s="7" t="s">
        <v>68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Q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8" min="5" style="1" width="14"/>
  </cols>
  <sheetData>
    <row r="1" customFormat="false" ht="22.5" hidden="false" customHeight="true" outlineLevel="0" collapsed="false">
      <c r="B1" s="2" t="s">
        <v>69</v>
      </c>
    </row>
    <row r="2" customFormat="false" ht="14.25" hidden="false" customHeight="true" outlineLevel="0" collapsed="false">
      <c r="B2" s="8" t="s">
        <v>70</v>
      </c>
    </row>
    <row r="3" customFormat="false" ht="25.5" hidden="false" customHeight="true" outlineLevel="0" collapsed="false">
      <c r="B3" s="9" t="s">
        <v>71</v>
      </c>
      <c r="C3" s="9"/>
      <c r="D3" s="9"/>
      <c r="E3" s="9"/>
      <c r="F3" s="9"/>
      <c r="G3" s="9"/>
      <c r="H3" s="9"/>
    </row>
    <row r="4" customFormat="false" ht="15" hidden="false" customHeight="true" outlineLevel="0" collapsed="false">
      <c r="B4" s="4" t="s">
        <v>72</v>
      </c>
      <c r="C4" s="5"/>
      <c r="E4" s="4" t="s">
        <v>73</v>
      </c>
      <c r="F4" s="5"/>
      <c r="G4" s="5"/>
      <c r="H4" s="5"/>
      <c r="J4" s="9" t="s">
        <v>74</v>
      </c>
      <c r="K4" s="9"/>
      <c r="L4" s="9"/>
      <c r="M4" s="9"/>
      <c r="N4" s="9"/>
      <c r="O4" s="9"/>
      <c r="P4" s="9"/>
      <c r="Q4" s="9"/>
    </row>
    <row r="5" customFormat="false" ht="14.25" hidden="false" customHeight="true" outlineLevel="0" collapsed="false">
      <c r="B5" s="10" t="s">
        <v>75</v>
      </c>
      <c r="C5" s="11" t="n">
        <f aca="false">COUNTA('Dados completos'!$B$4:$B$227)</f>
        <v>224</v>
      </c>
      <c r="E5" s="12" t="s">
        <v>76</v>
      </c>
      <c r="F5" s="12" t="s">
        <v>77</v>
      </c>
      <c r="G5" s="12" t="s">
        <v>78</v>
      </c>
      <c r="H5" s="12" t="s">
        <v>79</v>
      </c>
      <c r="J5" s="9"/>
      <c r="K5" s="9"/>
      <c r="L5" s="9"/>
      <c r="M5" s="9"/>
      <c r="N5" s="9"/>
      <c r="O5" s="9"/>
      <c r="P5" s="9"/>
      <c r="Q5" s="9"/>
    </row>
    <row r="6" customFormat="false" ht="14.25" hidden="false" customHeight="true" outlineLevel="0" collapsed="false">
      <c r="B6" s="10" t="s">
        <v>80</v>
      </c>
      <c r="C6" s="11" t="n">
        <f aca="false">COUNTIF('Dados completos'!$AK$4:$AK$227,"Aberta*")</f>
        <v>35</v>
      </c>
      <c r="E6" s="7" t="s">
        <v>81</v>
      </c>
      <c r="F6" s="13" t="n">
        <f aca="false">COUNTIF('Dados completos'!$F$4:$F$227,E6)</f>
        <v>28</v>
      </c>
      <c r="G6" s="14" t="n">
        <f aca="false">IFERROR(AVERAGEIFS('Dados completos'!$AR$4:$AR$227,'Dados completos'!$F$4:$F$227,E6,'Dados completos'!$AQ$4:$AQ$227,1),"")</f>
        <v>0.0146807407407407</v>
      </c>
      <c r="H6" s="13" t="n">
        <f aca="false">COUNTIFS('Dados completos'!$F$4:$F$227,E6,'Dados completos'!$AI$4:$AI$227,"Boa")</f>
        <v>0</v>
      </c>
    </row>
    <row r="7" customFormat="false" ht="14.25" hidden="false" customHeight="true" outlineLevel="0" collapsed="false">
      <c r="B7" s="10" t="s">
        <v>82</v>
      </c>
      <c r="C7" s="11" t="n">
        <f aca="false">COUNTIF('Dados completos'!$AK$4:$AK$227,"Por confirmar")</f>
        <v>160</v>
      </c>
      <c r="E7" s="7" t="s">
        <v>83</v>
      </c>
      <c r="F7" s="13" t="n">
        <f aca="false">COUNTIF('Dados completos'!$F$4:$F$227,E7)</f>
        <v>8</v>
      </c>
      <c r="G7" s="14" t="n">
        <f aca="false">IFERROR(AVERAGEIFS('Dados completos'!$AR$4:$AR$227,'Dados completos'!$F$4:$F$227,E7,'Dados completos'!$AQ$4:$AQ$227,1),"")</f>
        <v>0.0185474285714286</v>
      </c>
      <c r="H7" s="13" t="n">
        <f aca="false">COUNTIFS('Dados completos'!$F$4:$F$227,E7,'Dados completos'!$AI$4:$AI$227,"Boa")</f>
        <v>0</v>
      </c>
    </row>
    <row r="8" customFormat="false" ht="14.25" hidden="false" customHeight="true" outlineLevel="0" collapsed="false">
      <c r="B8" s="10" t="s">
        <v>84</v>
      </c>
      <c r="C8" s="11" t="n">
        <f aca="false">COUNTIF('Dados completos'!$AK$4:$AK$227,"Prazo expirado")</f>
        <v>7</v>
      </c>
      <c r="E8" s="7" t="s">
        <v>85</v>
      </c>
      <c r="F8" s="13" t="n">
        <f aca="false">COUNTIF('Dados completos'!$F$4:$F$227,E8)</f>
        <v>62</v>
      </c>
      <c r="G8" s="14" t="n">
        <f aca="false">IFERROR(AVERAGEIFS('Dados completos'!$AR$4:$AR$227,'Dados completos'!$F$4:$F$227,E8,'Dados completos'!$AQ$4:$AQ$227,1),"")</f>
        <v>0.0162899672131148</v>
      </c>
      <c r="H8" s="13" t="n">
        <f aca="false">COUNTIFS('Dados completos'!$F$4:$F$227,E8,'Dados completos'!$AI$4:$AI$227,"Boa")</f>
        <v>0</v>
      </c>
    </row>
    <row r="9" customFormat="false" ht="14.25" hidden="false" customHeight="true" outlineLevel="0" collapsed="false">
      <c r="B9" s="10" t="s">
        <v>86</v>
      </c>
      <c r="C9" s="11" t="n">
        <f aca="false">COUNTIF('Dados completos'!$AL$4:$AL$227,"Prioridade")</f>
        <v>31</v>
      </c>
      <c r="E9" s="7" t="s">
        <v>87</v>
      </c>
      <c r="F9" s="13" t="n">
        <f aca="false">COUNTIF('Dados completos'!$F$4:$F$227,E9)</f>
        <v>19</v>
      </c>
      <c r="G9" s="14" t="n">
        <f aca="false">IFERROR(AVERAGEIFS('Dados completos'!$AR$4:$AR$227,'Dados completos'!$F$4:$F$227,E9,'Dados completos'!$AQ$4:$AQ$227,1),"")</f>
        <v>0.0136742842105263</v>
      </c>
      <c r="H9" s="13" t="n">
        <f aca="false">COUNTIFS('Dados completos'!$F$4:$F$227,E9,'Dados completos'!$AI$4:$AI$227,"Boa")</f>
        <v>0</v>
      </c>
    </row>
    <row r="10" customFormat="false" ht="14.25" hidden="false" customHeight="true" outlineLevel="0" collapsed="false">
      <c r="B10" s="10" t="s">
        <v>88</v>
      </c>
      <c r="C10" s="11" t="n">
        <f aca="false">COUNTIF('Dados completos'!$AI$4:$AI$227,"Boa")</f>
        <v>43</v>
      </c>
      <c r="E10" s="7" t="s">
        <v>89</v>
      </c>
      <c r="F10" s="13" t="n">
        <f aca="false">COUNTIF('Dados completos'!$F$4:$F$227,E10)</f>
        <v>73</v>
      </c>
      <c r="G10" s="14" t="n">
        <f aca="false">IFERROR(AVERAGEIFS('Dados completos'!$AR$4:$AR$227,'Dados completos'!$F$4:$F$227,E10,'Dados completos'!$AQ$4:$AQ$227,1),"")</f>
        <v>0.123644769230769</v>
      </c>
      <c r="H10" s="13" t="n">
        <f aca="false">COUNTIFS('Dados completos'!$F$4:$F$227,E10,'Dados completos'!$AI$4:$AI$227,"Boa")</f>
        <v>42</v>
      </c>
    </row>
    <row r="11" customFormat="false" ht="14.25" hidden="false" customHeight="true" outlineLevel="0" collapsed="false">
      <c r="B11" s="10" t="s">
        <v>90</v>
      </c>
      <c r="C11" s="11" t="n">
        <f aca="false">'Análise de match'!D21</f>
        <v>58.32425</v>
      </c>
      <c r="E11" s="7" t="s">
        <v>91</v>
      </c>
      <c r="F11" s="13" t="n">
        <f aca="false">COUNTIF('Dados completos'!$F$4:$F$227,E11)</f>
        <v>6</v>
      </c>
      <c r="G11" s="14" t="n">
        <f aca="false">IFERROR(AVERAGEIFS('Dados completos'!$AR$4:$AR$227,'Dados completos'!$F$4:$F$227,E11,'Dados completos'!$AQ$4:$AQ$227,1),"")</f>
        <v>0.0524496666666667</v>
      </c>
      <c r="H11" s="13" t="n">
        <f aca="false">COUNTIFS('Dados completos'!$F$4:$F$227,E11,'Dados completos'!$AI$4:$AI$227,"Boa")</f>
        <v>1</v>
      </c>
    </row>
    <row r="12" customFormat="false" ht="14.25" hidden="false" customHeight="true" outlineLevel="0" collapsed="false">
      <c r="B12" s="10" t="s">
        <v>92</v>
      </c>
      <c r="C12" s="15" t="n">
        <f aca="false">'Análise de match'!D62</f>
        <v>0.551101462519079</v>
      </c>
      <c r="E12" s="7" t="s">
        <v>93</v>
      </c>
      <c r="F12" s="13" t="n">
        <f aca="false">COUNTIF('Dados completos'!$F$4:$F$227,E12)</f>
        <v>4</v>
      </c>
      <c r="G12" s="14" t="n">
        <f aca="false">IFERROR(AVERAGEIFS('Dados completos'!$AR$4:$AR$227,'Dados completos'!$F$4:$F$227,E12,'Dados completos'!$AQ$4:$AQ$227,1),"")</f>
        <v>0.0112585</v>
      </c>
      <c r="H12" s="13" t="n">
        <f aca="false">COUNTIFS('Dados completos'!$F$4:$F$227,E12,'Dados completos'!$AI$4:$AI$227,"Boa")</f>
        <v>0</v>
      </c>
    </row>
    <row r="13" customFormat="false" ht="14.25" hidden="false" customHeight="true" outlineLevel="0" collapsed="false">
      <c r="B13" s="10" t="s">
        <v>94</v>
      </c>
      <c r="C13" s="15" t="n">
        <f aca="false">'Análise de match'!D64</f>
        <v>0.793738910231423</v>
      </c>
      <c r="E13" s="7" t="s">
        <v>95</v>
      </c>
      <c r="F13" s="13" t="n">
        <f aca="false">COUNTIF('Dados completos'!$F$4:$F$227,E13)</f>
        <v>9</v>
      </c>
      <c r="G13" s="14" t="n">
        <f aca="false">IFERROR(AVERAGEIFS('Dados completos'!$AR$4:$AR$227,'Dados completos'!$F$4:$F$227,E13,'Dados completos'!$AQ$4:$AQ$227,1),"")</f>
        <v>0.0153084444444444</v>
      </c>
      <c r="H13" s="13" t="n">
        <f aca="false">COUNTIFS('Dados completos'!$F$4:$F$227,E13,'Dados completos'!$AI$4:$AI$227,"Boa")</f>
        <v>0</v>
      </c>
    </row>
    <row r="14" customFormat="false" ht="14.25" hidden="false" customHeight="true" outlineLevel="0" collapsed="false">
      <c r="B14" s="10" t="s">
        <v>96</v>
      </c>
      <c r="C14" s="11" t="n">
        <f aca="false">COUNTIF('Dados completos'!$F$4:$F$227,"Portugal")</f>
        <v>73</v>
      </c>
      <c r="E14" s="7" t="s">
        <v>97</v>
      </c>
      <c r="F14" s="13" t="n">
        <f aca="false">COUNTIF('Dados completos'!$F$4:$F$227,E14)</f>
        <v>8</v>
      </c>
      <c r="G14" s="14" t="n">
        <f aca="false">IFERROR(AVERAGEIFS('Dados completos'!$AR$4:$AR$227,'Dados completos'!$F$4:$F$227,E14,'Dados completos'!$AQ$4:$AQ$227,1),"")</f>
        <v>0.014724</v>
      </c>
      <c r="H14" s="13" t="n">
        <f aca="false">COUNTIFS('Dados completos'!$F$4:$F$227,E14,'Dados completos'!$AI$4:$AI$227,"Boa")</f>
        <v>0</v>
      </c>
    </row>
    <row r="15" customFormat="false" ht="14.25" hidden="false" customHeight="true" outlineLevel="0" collapsed="false">
      <c r="E15" s="7" t="s">
        <v>98</v>
      </c>
      <c r="F15" s="13" t="n">
        <f aca="false">COUNTIF('Dados completos'!$F$4:$F$227,E15)</f>
        <v>1</v>
      </c>
      <c r="G15" s="14" t="n">
        <f aca="false">IFERROR(AVERAGEIFS('Dados completos'!$AR$4:$AR$227,'Dados completos'!$F$4:$F$227,E15,'Dados completos'!$AQ$4:$AQ$227,1),"")</f>
        <v>0.03405</v>
      </c>
      <c r="H15" s="13" t="n">
        <f aca="false">COUNTIFS('Dados completos'!$F$4:$F$227,E15,'Dados completos'!$AI$4:$AI$227,"Boa")</f>
        <v>0</v>
      </c>
    </row>
    <row r="16" customFormat="false" ht="14.25" hidden="false" customHeight="true" outlineLevel="0" collapsed="false">
      <c r="E16" s="7" t="s">
        <v>99</v>
      </c>
      <c r="F16" s="13" t="n">
        <f aca="false">COUNTIF('Dados completos'!$F$4:$F$227,E16)</f>
        <v>1</v>
      </c>
      <c r="G16" s="14" t="n">
        <f aca="false">IFERROR(AVERAGEIFS('Dados completos'!$AR$4:$AR$227,'Dados completos'!$F$4:$F$227,E16,'Dados completos'!$AQ$4:$AQ$227,1),"")</f>
        <v>0.01126</v>
      </c>
      <c r="H16" s="13" t="n">
        <f aca="false">COUNTIFS('Dados completos'!$F$4:$F$227,E16,'Dados completos'!$AI$4:$AI$227,"Boa")</f>
        <v>0</v>
      </c>
    </row>
    <row r="17" customFormat="false" ht="14.25" hidden="false" customHeight="true" outlineLevel="0" collapsed="false">
      <c r="E17" s="7" t="s">
        <v>100</v>
      </c>
      <c r="F17" s="13" t="n">
        <f aca="false">COUNTIF('Dados completos'!$F$4:$F$227,E17)</f>
        <v>5</v>
      </c>
      <c r="G17" s="14" t="n">
        <f aca="false">IFERROR(AVERAGEIFS('Dados completos'!$AR$4:$AR$227,'Dados completos'!$F$4:$F$227,E17,'Dados completos'!$AQ$4:$AQ$227,1),"")</f>
        <v>0.0195264</v>
      </c>
      <c r="H17" s="13" t="n">
        <f aca="false">COUNTIFS('Dados completos'!$F$4:$F$227,E17,'Dados completos'!$AI$4:$AI$227,"Boa")</f>
        <v>0</v>
      </c>
    </row>
    <row r="20" customFormat="false" ht="14.25" hidden="false" customHeight="true" outlineLevel="0" collapsed="false">
      <c r="B20" s="4" t="s">
        <v>101</v>
      </c>
      <c r="C20" s="5"/>
      <c r="D20" s="5"/>
      <c r="E20" s="5"/>
      <c r="F20" s="5"/>
      <c r="G20" s="5"/>
      <c r="H20" s="5"/>
    </row>
    <row r="21" customFormat="false" ht="14.25" hidden="false" customHeight="true" outlineLevel="0" collapsed="false">
      <c r="B21" s="12" t="s">
        <v>102</v>
      </c>
      <c r="C21" s="12" t="s">
        <v>103</v>
      </c>
      <c r="D21" s="12" t="s">
        <v>104</v>
      </c>
      <c r="E21" s="12" t="s">
        <v>105</v>
      </c>
      <c r="F21" s="12" t="s">
        <v>106</v>
      </c>
      <c r="G21" s="12" t="s">
        <v>107</v>
      </c>
      <c r="H21" s="12" t="s">
        <v>35</v>
      </c>
    </row>
    <row r="22" customFormat="false" ht="33.75" hidden="false" customHeight="true" outlineLevel="0" collapsed="false">
      <c r="B22" s="16" t="str">
        <f aca="false">Decisão!G5&amp;", "&amp;Decisão!H5</f>
        <v>Santander Portugal, Estágio, Controlo e Governo de Riscos</v>
      </c>
      <c r="C22" s="17" t="str">
        <f aca="false">Decisão!K5</f>
        <v>Lisboa</v>
      </c>
      <c r="D22" s="17" t="str">
        <f aca="false">Decisão!L5</f>
        <v>Não indicado (provável presencial)</v>
      </c>
      <c r="E22" s="17" t="str">
        <f aca="false">Decisão!O5</f>
        <v>Média</v>
      </c>
      <c r="F22" s="18" t="n">
        <f aca="false">Decisão!E5</f>
        <v>0.17904</v>
      </c>
      <c r="G22" s="19" t="n">
        <f aca="false">Decisão!D5</f>
        <v>91</v>
      </c>
      <c r="H22" s="17" t="str">
        <f aca="false">Decisão!F5</f>
        <v>Boa</v>
      </c>
    </row>
    <row r="23" customFormat="false" ht="33.75" hidden="false" customHeight="true" outlineLevel="0" collapsed="false">
      <c r="B23" s="16" t="str">
        <f aca="false">Decisão!G6&amp;", "&amp;Decisão!H6</f>
        <v>Santander Portugal, Credit Risk Trainee</v>
      </c>
      <c r="C23" s="17" t="str">
        <f aca="false">Decisão!K6</f>
        <v>Lisboa</v>
      </c>
      <c r="D23" s="17" t="str">
        <f aca="false">Decisão!L6</f>
        <v>Não indicado (provável presencial)</v>
      </c>
      <c r="E23" s="17" t="str">
        <f aca="false">Decisão!O6</f>
        <v>Média</v>
      </c>
      <c r="F23" s="18" t="n">
        <f aca="false">Decisão!E6</f>
        <v>0.17904</v>
      </c>
      <c r="G23" s="19" t="n">
        <f aca="false">Decisão!D6</f>
        <v>91</v>
      </c>
      <c r="H23" s="17" t="str">
        <f aca="false">Decisão!F6</f>
        <v>Boa</v>
      </c>
    </row>
    <row r="24" customFormat="false" ht="33.75" hidden="false" customHeight="true" outlineLevel="0" collapsed="false">
      <c r="B24" s="16" t="str">
        <f aca="false">Decisão!G7&amp;", "&amp;Decisão!H7</f>
        <v>Banco Santander (Portugal), Programa de Estágios, Candidatura espontânea (Lisboa)</v>
      </c>
      <c r="C24" s="17" t="str">
        <f aca="false">Decisão!K7</f>
        <v>Lisboa</v>
      </c>
      <c r="D24" s="17" t="str">
        <f aca="false">Decisão!L7</f>
        <v>Não indicado (provável presencial)</v>
      </c>
      <c r="E24" s="17" t="str">
        <f aca="false">Decisão!O7</f>
        <v>Média</v>
      </c>
      <c r="F24" s="18" t="n">
        <f aca="false">Decisão!E7</f>
        <v>0.17688</v>
      </c>
      <c r="G24" s="19" t="n">
        <f aca="false">Decisão!D7</f>
        <v>89.5</v>
      </c>
      <c r="H24" s="17" t="str">
        <f aca="false">Decisão!F7</f>
        <v>Boa</v>
      </c>
    </row>
    <row r="25" customFormat="false" ht="33.75" hidden="false" customHeight="true" outlineLevel="0" collapsed="false">
      <c r="B25" s="16" t="str">
        <f aca="false">Decisão!G8&amp;", "&amp;Decisão!H8</f>
        <v>Qualquer empresa portuguesa (PE/VC/Corporate Finance), Estágio profissional via IEFP (Estágios +Talento) + candidatura espontânea</v>
      </c>
      <c r="C25" s="17" t="str">
        <f aca="false">Decisão!K8</f>
        <v>Lisboa (e outras)</v>
      </c>
      <c r="D25" s="17" t="str">
        <f aca="false">Decisão!L8</f>
        <v>Depende da empresa</v>
      </c>
      <c r="E25" s="17" t="str">
        <f aca="false">Decisão!O8</f>
        <v>Média</v>
      </c>
      <c r="F25" s="18" t="n">
        <f aca="false">Decisão!E8</f>
        <v>0.17688</v>
      </c>
      <c r="G25" s="19" t="n">
        <f aca="false">Decisão!D8</f>
        <v>89.5</v>
      </c>
      <c r="H25" s="17" t="str">
        <f aca="false">Decisão!F8</f>
        <v>Boa</v>
      </c>
    </row>
    <row r="26" customFormat="false" ht="33.75" hidden="false" customHeight="true" outlineLevel="0" collapsed="false">
      <c r="B26" s="16" t="str">
        <f aca="false">Decisão!G9&amp;", "&amp;Decisão!H9</f>
        <v>Caixa Geral de Depósitos, Estagiário(a), Direção de Mercados Financeiros</v>
      </c>
      <c r="C26" s="17" t="str">
        <f aca="false">Decisão!K9</f>
        <v>Lisboa</v>
      </c>
      <c r="D26" s="17" t="str">
        <f aca="false">Decisão!L9</f>
        <v>Não indicado (provável presencial)</v>
      </c>
      <c r="E26" s="17" t="str">
        <f aca="false">Decisão!O9</f>
        <v>Média-alta</v>
      </c>
      <c r="F26" s="18" t="n">
        <f aca="false">Decisão!E9</f>
        <v>0.1172</v>
      </c>
      <c r="G26" s="19" t="n">
        <f aca="false">Decisão!D9</f>
        <v>88.75</v>
      </c>
      <c r="H26" s="17" t="str">
        <f aca="false">Decisão!F9</f>
        <v>Boa</v>
      </c>
    </row>
    <row r="27" customFormat="false" ht="33.75" hidden="false" customHeight="true" outlineLevel="0" collapsed="false">
      <c r="B27" s="16" t="str">
        <f aca="false">Decisão!G10&amp;", "&amp;Decisão!H10</f>
        <v>EY-Parthenon, Business Analyst, EY-Parthenon M&amp;A (Real Estate) (Lisboa)</v>
      </c>
      <c r="C27" s="17" t="str">
        <f aca="false">Decisão!K10</f>
        <v>Lisboa</v>
      </c>
      <c r="D27" s="17" t="str">
        <f aca="false">Decisão!L10</f>
        <v>Híbrido</v>
      </c>
      <c r="E27" s="17" t="str">
        <f aca="false">Decisão!O10</f>
        <v>Média-alta</v>
      </c>
      <c r="F27" s="18" t="n">
        <f aca="false">Decisão!E10</f>
        <v>0.11792</v>
      </c>
      <c r="G27" s="19" t="n">
        <f aca="false">Decisão!D10</f>
        <v>89.5</v>
      </c>
      <c r="H27" s="17" t="str">
        <f aca="false">Decisão!F10</f>
        <v>Boa</v>
      </c>
    </row>
    <row r="28" customFormat="false" ht="33.75" hidden="false" customHeight="true" outlineLevel="0" collapsed="false">
      <c r="B28" s="16" t="str">
        <f aca="false">Decisão!G11&amp;", "&amp;Decisão!H11</f>
        <v>BNP Paribas, Investment Banking Trainee, M&amp;A Advisory (Lisboa)</v>
      </c>
      <c r="C28" s="17" t="str">
        <f aca="false">Decisão!K11</f>
        <v>Lisboa</v>
      </c>
      <c r="D28" s="17" t="str">
        <f aca="false">Decisão!L11</f>
        <v>Híbrido</v>
      </c>
      <c r="E28" s="17" t="str">
        <f aca="false">Decisão!O11</f>
        <v>Média-alta</v>
      </c>
      <c r="F28" s="18" t="n">
        <f aca="false">Decisão!E11</f>
        <v>0.11648</v>
      </c>
      <c r="G28" s="19" t="n">
        <f aca="false">Decisão!D11</f>
        <v>88</v>
      </c>
      <c r="H28" s="17" t="str">
        <f aca="false">Decisão!F11</f>
        <v>Boa</v>
      </c>
    </row>
    <row r="29" customFormat="false" ht="33.75" hidden="false" customHeight="true" outlineLevel="0" collapsed="false">
      <c r="B29" s="16" t="str">
        <f aca="false">Decisão!G12&amp;", "&amp;Decisão!H12</f>
        <v>Empresa por confirmar (gestora), Data Analyst Trainee, Real Assets (Lisboa)</v>
      </c>
      <c r="C29" s="17" t="str">
        <f aca="false">Decisão!K12</f>
        <v>Lisboa</v>
      </c>
      <c r="D29" s="17" t="str">
        <f aca="false">Decisão!L12</f>
        <v>Não indicado (provável presencial)</v>
      </c>
      <c r="E29" s="17" t="str">
        <f aca="false">Decisão!O12</f>
        <v>Média-alta</v>
      </c>
      <c r="F29" s="18" t="n">
        <f aca="false">Decisão!E12</f>
        <v>0.116048</v>
      </c>
      <c r="G29" s="19" t="n">
        <f aca="false">Decisão!D12</f>
        <v>87.55</v>
      </c>
      <c r="H29" s="17" t="str">
        <f aca="false">Decisão!F12</f>
        <v>Boa</v>
      </c>
    </row>
    <row r="30" customFormat="false" ht="33.75" hidden="false" customHeight="true" outlineLevel="0" collapsed="false">
      <c r="B30" s="16" t="str">
        <f aca="false">Decisão!G13&amp;", "&amp;Decisão!H13</f>
        <v>Euronext, Early Careers (programa de 2 anos nos mercados financeiros europeus)</v>
      </c>
      <c r="C30" s="17" t="str">
        <f aca="false">Decisão!K13</f>
        <v>Lisboa</v>
      </c>
      <c r="D30" s="17" t="str">
        <f aca="false">Decisão!L13</f>
        <v>Não indicado (provável presencial)</v>
      </c>
      <c r="E30" s="17" t="str">
        <f aca="false">Decisão!O13</f>
        <v>Média-alta</v>
      </c>
      <c r="F30" s="18" t="n">
        <f aca="false">Decisão!E13</f>
        <v>0.115664</v>
      </c>
      <c r="G30" s="19" t="n">
        <f aca="false">Decisão!D13</f>
        <v>87.15</v>
      </c>
      <c r="H30" s="17" t="str">
        <f aca="false">Decisão!F13</f>
        <v>Boa</v>
      </c>
    </row>
    <row r="31" customFormat="false" ht="33.75" hidden="false" customHeight="true" outlineLevel="0" collapsed="false">
      <c r="B31" s="16" t="str">
        <f aca="false">Decisão!G14&amp;", "&amp;Decisão!H14</f>
        <v>Hilton, Finance Intern / Trainee (Lisboa)</v>
      </c>
      <c r="C31" s="17" t="str">
        <f aca="false">Decisão!K14</f>
        <v>Lisboa</v>
      </c>
      <c r="D31" s="17" t="str">
        <f aca="false">Decisão!L14</f>
        <v>Não indicado (provável presencial)</v>
      </c>
      <c r="E31" s="17" t="str">
        <f aca="false">Decisão!O14</f>
        <v>Média</v>
      </c>
      <c r="F31" s="18" t="n">
        <f aca="false">Decisão!E14</f>
        <v>0.179472</v>
      </c>
      <c r="G31" s="19" t="n">
        <f aca="false">Decisão!D14</f>
        <v>91.3</v>
      </c>
      <c r="H31" s="17" t="str">
        <f aca="false">Decisão!F14</f>
        <v>Boa</v>
      </c>
    </row>
    <row r="34" customFormat="false" ht="14.25" hidden="false" customHeight="true" outlineLevel="0" collapsed="false">
      <c r="B34" s="4" t="s">
        <v>108</v>
      </c>
      <c r="C34" s="5"/>
      <c r="D34" s="5"/>
      <c r="E34" s="5"/>
      <c r="F34" s="5"/>
      <c r="G34" s="5"/>
      <c r="H34" s="5"/>
    </row>
    <row r="35" customFormat="false" ht="48" hidden="false" customHeight="true" outlineLevel="0" collapsed="false">
      <c r="B35" s="20" t="s">
        <v>109</v>
      </c>
      <c r="C35" s="20"/>
      <c r="D35" s="20"/>
      <c r="E35" s="20"/>
      <c r="F35" s="20"/>
      <c r="G35" s="20"/>
      <c r="H35" s="20"/>
    </row>
    <row r="36" customFormat="false" ht="48" hidden="false" customHeight="true" outlineLevel="0" collapsed="false">
      <c r="B36" s="20" t="s">
        <v>110</v>
      </c>
      <c r="C36" s="20"/>
      <c r="D36" s="20"/>
      <c r="E36" s="20"/>
      <c r="F36" s="20"/>
      <c r="G36" s="20"/>
      <c r="H36" s="20"/>
    </row>
    <row r="37" customFormat="false" ht="48" hidden="false" customHeight="true" outlineLevel="0" collapsed="false">
      <c r="B37" s="20" t="s">
        <v>111</v>
      </c>
      <c r="C37" s="20"/>
      <c r="D37" s="20"/>
      <c r="E37" s="20"/>
      <c r="F37" s="20"/>
      <c r="G37" s="20"/>
      <c r="H37" s="20"/>
    </row>
    <row r="38" customFormat="false" ht="48" hidden="false" customHeight="true" outlineLevel="0" collapsed="false">
      <c r="B38" s="20" t="s">
        <v>112</v>
      </c>
      <c r="C38" s="20"/>
      <c r="D38" s="20"/>
      <c r="E38" s="20"/>
      <c r="F38" s="20"/>
      <c r="G38" s="20"/>
      <c r="H38" s="20"/>
    </row>
    <row r="39" customFormat="false" ht="48" hidden="false" customHeight="true" outlineLevel="0" collapsed="false">
      <c r="B39" s="20" t="s">
        <v>113</v>
      </c>
      <c r="C39" s="20"/>
      <c r="D39" s="20"/>
      <c r="E39" s="20"/>
      <c r="F39" s="20"/>
      <c r="G39" s="20"/>
      <c r="H39" s="20"/>
    </row>
    <row r="40" customFormat="false" ht="48" hidden="false" customHeight="true" outlineLevel="0" collapsed="false">
      <c r="B40" s="20" t="s">
        <v>114</v>
      </c>
      <c r="C40" s="20"/>
      <c r="D40" s="20"/>
      <c r="E40" s="20"/>
      <c r="F40" s="20"/>
      <c r="G40" s="20"/>
      <c r="H40" s="20"/>
    </row>
    <row r="41" customFormat="false" ht="48" hidden="false" customHeight="true" outlineLevel="0" collapsed="false">
      <c r="B41" s="20" t="s">
        <v>115</v>
      </c>
      <c r="C41" s="20"/>
      <c r="D41" s="20"/>
      <c r="E41" s="20"/>
      <c r="F41" s="20"/>
      <c r="G41" s="20"/>
      <c r="H41" s="20"/>
    </row>
    <row r="42" customFormat="false" ht="48" hidden="false" customHeight="true" outlineLevel="0" collapsed="false">
      <c r="B42" s="20" t="s">
        <v>116</v>
      </c>
      <c r="C42" s="20"/>
      <c r="D42" s="20"/>
      <c r="E42" s="20"/>
      <c r="F42" s="20"/>
      <c r="G42" s="20"/>
      <c r="H42" s="20"/>
    </row>
    <row r="43" customFormat="false" ht="48" hidden="false" customHeight="true" outlineLevel="0" collapsed="false">
      <c r="B43" s="20" t="s">
        <v>117</v>
      </c>
      <c r="C43" s="20"/>
      <c r="D43" s="20"/>
      <c r="E43" s="20"/>
      <c r="F43" s="20"/>
      <c r="G43" s="20"/>
      <c r="H43" s="20"/>
    </row>
    <row r="45" customFormat="false" ht="30" hidden="false" customHeight="true" outlineLevel="0" collapsed="false">
      <c r="B45" s="9" t="s">
        <v>118</v>
      </c>
      <c r="C45" s="9"/>
      <c r="D45" s="9"/>
      <c r="E45" s="9"/>
      <c r="F45" s="9"/>
      <c r="G45" s="9"/>
      <c r="H45" s="9"/>
    </row>
    <row r="47" customFormat="false" ht="14.25" hidden="false" customHeight="true" outlineLevel="0" collapsed="false">
      <c r="B47" s="4" t="s">
        <v>119</v>
      </c>
      <c r="C47" s="5"/>
      <c r="D47" s="5"/>
      <c r="E47" s="5"/>
      <c r="F47" s="5"/>
      <c r="G47" s="5"/>
      <c r="H47" s="5"/>
    </row>
    <row r="48" customFormat="false" ht="30" hidden="false" customHeight="true" outlineLevel="0" collapsed="false">
      <c r="B48" s="20" t="s">
        <v>120</v>
      </c>
      <c r="C48" s="20"/>
      <c r="D48" s="20"/>
      <c r="E48" s="20"/>
      <c r="F48" s="20"/>
      <c r="G48" s="20"/>
      <c r="H48" s="20"/>
    </row>
    <row r="49" customFormat="false" ht="30" hidden="false" customHeight="true" outlineLevel="0" collapsed="false">
      <c r="B49" s="20" t="s">
        <v>121</v>
      </c>
      <c r="C49" s="20"/>
      <c r="D49" s="20"/>
      <c r="E49" s="20"/>
      <c r="F49" s="20"/>
      <c r="G49" s="20"/>
      <c r="H49" s="20"/>
    </row>
    <row r="50" customFormat="false" ht="30" hidden="false" customHeight="true" outlineLevel="0" collapsed="false">
      <c r="B50" s="20" t="s">
        <v>122</v>
      </c>
      <c r="C50" s="20"/>
      <c r="D50" s="20"/>
      <c r="E50" s="20"/>
      <c r="F50" s="20"/>
      <c r="G50" s="20"/>
      <c r="H50" s="20"/>
    </row>
  </sheetData>
  <mergeCells count="15">
    <mergeCell ref="B3:H3"/>
    <mergeCell ref="J4:Q5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8:H48"/>
    <mergeCell ref="B49:H49"/>
    <mergeCell ref="B50:H50"/>
  </mergeCells>
  <conditionalFormatting sqref="H22:H31">
    <cfRule type="cellIs" priority="2" operator="equal" aboveAverage="0" equalAverage="0" bottom="0" percent="0" rank="0" text="" dxfId="0">
      <formula>"Boa"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E22:E31">
    <cfRule type="cellIs" priority="5" operator="equal" aboveAverage="0" equalAverage="0" bottom="0" percent="0" rank="0" text="" dxfId="2">
      <formula>"Muito alta"</formula>
    </cfRule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4">
      <formula>"Média-alta"</formula>
    </cfRule>
    <cfRule type="cellIs" priority="8" operator="equal" aboveAverage="0" equalAverage="0" bottom="0" percent="0" rank="0" text="" dxfId="5">
      <formula>"Média"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V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38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4" min="13" style="1" width="16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20"/>
    <col collapsed="false" customWidth="true" hidden="false" outlineLevel="0" max="18" min="18" style="1" width="52"/>
    <col collapsed="false" customWidth="true" hidden="false" outlineLevel="0" max="19" min="19" style="1" width="20"/>
    <col collapsed="false" customWidth="true" hidden="false" outlineLevel="0" max="21" min="20" style="1" width="16"/>
    <col collapsed="false" customWidth="true" hidden="false" outlineLevel="0" max="22" min="22" style="1" width="10"/>
  </cols>
  <sheetData>
    <row r="1" customFormat="false" ht="17.25" hidden="false" customHeight="true" outlineLevel="0" collapsed="false">
      <c r="A1" s="21" t="s">
        <v>123</v>
      </c>
    </row>
    <row r="2" customFormat="false" ht="14.25" hidden="false" customHeight="true" outlineLevel="0" collapsed="false">
      <c r="A2" s="22" t="s">
        <v>124</v>
      </c>
    </row>
    <row r="4" customFormat="false" ht="31.5" hidden="false" customHeight="true" outlineLevel="0" collapsed="false">
      <c r="A4" s="23" t="s">
        <v>125</v>
      </c>
      <c r="B4" s="23" t="s">
        <v>23</v>
      </c>
      <c r="C4" s="23" t="s">
        <v>126</v>
      </c>
      <c r="D4" s="23" t="s">
        <v>107</v>
      </c>
      <c r="E4" s="23" t="s">
        <v>127</v>
      </c>
      <c r="F4" s="23" t="s">
        <v>35</v>
      </c>
      <c r="G4" s="23" t="s">
        <v>128</v>
      </c>
      <c r="H4" s="23" t="s">
        <v>129</v>
      </c>
      <c r="I4" s="23" t="s">
        <v>130</v>
      </c>
      <c r="J4" s="23" t="s">
        <v>76</v>
      </c>
      <c r="K4" s="23" t="s">
        <v>103</v>
      </c>
      <c r="L4" s="23" t="s">
        <v>104</v>
      </c>
      <c r="M4" s="23" t="s">
        <v>131</v>
      </c>
      <c r="N4" s="23" t="s">
        <v>132</v>
      </c>
      <c r="O4" s="23" t="s">
        <v>105</v>
      </c>
      <c r="P4" s="23" t="s">
        <v>133</v>
      </c>
      <c r="Q4" s="23" t="s">
        <v>134</v>
      </c>
      <c r="R4" s="23" t="s">
        <v>135</v>
      </c>
      <c r="S4" s="23" t="s">
        <v>45</v>
      </c>
      <c r="T4" s="23" t="s">
        <v>136</v>
      </c>
      <c r="U4" s="23" t="s">
        <v>137</v>
      </c>
      <c r="V4" s="23" t="s">
        <v>138</v>
      </c>
    </row>
    <row r="5" customFormat="false" ht="45.75" hidden="false" customHeight="true" outlineLevel="0" collapsed="false">
      <c r="A5" s="24" t="n">
        <f aca="false">'Dados completos'!A178</f>
        <v>175</v>
      </c>
      <c r="B5" s="25" t="str">
        <f aca="false">'Dados completos'!AL178</f>
        <v>Candidatar (reach)</v>
      </c>
      <c r="C5" s="24" t="n">
        <f aca="false">'Dados completos'!Y178</f>
        <v>3.4</v>
      </c>
      <c r="D5" s="26" t="n">
        <f aca="false">'Dados completos'!AF178</f>
        <v>91</v>
      </c>
      <c r="E5" s="27" t="n">
        <f aca="false">'Dados completos'!AH178</f>
        <v>0.17904</v>
      </c>
      <c r="F5" s="28" t="str">
        <f aca="false">'Dados completos'!AI178</f>
        <v>Boa</v>
      </c>
      <c r="G5" s="29" t="str">
        <f aca="false">'Dados completos'!B178</f>
        <v>Santander Portugal</v>
      </c>
      <c r="H5" s="30" t="str">
        <f aca="false">'Dados completos'!C178</f>
        <v>Estágio, Controlo e Governo de Riscos</v>
      </c>
      <c r="I5" s="30" t="str">
        <f aca="false">'Dados completos'!E178</f>
        <v>Banca comercial</v>
      </c>
      <c r="J5" s="24" t="str">
        <f aca="false">'Dados completos'!F178</f>
        <v>Portugal</v>
      </c>
      <c r="K5" s="30" t="str">
        <f aca="false">'Dados completos'!G178</f>
        <v>Lisboa</v>
      </c>
      <c r="L5" s="30" t="str">
        <f aca="false">'Dados completos'!H178</f>
        <v>Não indicado (provável presencial)</v>
      </c>
      <c r="M5" s="30" t="str">
        <f aca="false">'Dados completos'!I178</f>
        <v>Não indicado</v>
      </c>
      <c r="N5" s="31" t="str">
        <f aca="false">'Dados completos'!O178</f>
        <v>Não indicado</v>
      </c>
      <c r="O5" s="28" t="str">
        <f aca="false">'Dados completos'!V178</f>
        <v>Média</v>
      </c>
      <c r="P5" s="30" t="str">
        <f aca="false">IF('Dados completos'!R178="","n/d",IF('Dados completos'!R178='Dados completos'!S178,TEXT('Dados completos'!R178,"#,##0"),TEXT('Dados completos'!R178,"#,##0")&amp;", "&amp;TEXT('Dados completos'!S178,"#,##0")))</f>
        <v>1,000, 1,300</v>
      </c>
      <c r="Q5" s="30" t="str">
        <f aca="false">'Dados completos'!M178</f>
        <v>Inglês (ver oferta)</v>
      </c>
      <c r="R5" s="30" t="str">
        <f aca="false">'Dados completos'!AJ178</f>
        <v>Língua-chave PT (exigência 0.3); não exige experiência prévia em finanças; aceita recém-licenciadas.</v>
      </c>
      <c r="S5" s="30" t="str">
        <f aca="false">'Dados completos'!AK178</f>
        <v>Por confirmar</v>
      </c>
      <c r="T5" s="24" t="str">
        <f aca="false">'Dados completos'!AP178</f>
        <v>Parcial (agregador/título)</v>
      </c>
      <c r="U5" s="30" t="str">
        <f aca="false">'Dados completos'!AO178</f>
        <v>Anúncio em plataforma</v>
      </c>
      <c r="V5" s="32" t="str">
        <f aca="false">HYPERLINK('Dados completos'!AN178,"Abrir")</f>
        <v>Abrir</v>
      </c>
    </row>
    <row r="6" customFormat="false" ht="45.75" hidden="false" customHeight="true" outlineLevel="0" collapsed="false">
      <c r="A6" s="24" t="n">
        <f aca="false">'Dados completos'!A179</f>
        <v>176</v>
      </c>
      <c r="B6" s="25" t="str">
        <f aca="false">'Dados completos'!AL179</f>
        <v>Candidatar (reach)</v>
      </c>
      <c r="C6" s="24" t="n">
        <f aca="false">'Dados completos'!Y179</f>
        <v>3.4</v>
      </c>
      <c r="D6" s="26" t="n">
        <f aca="false">'Dados completos'!AF179</f>
        <v>91</v>
      </c>
      <c r="E6" s="27" t="n">
        <f aca="false">'Dados completos'!AH179</f>
        <v>0.17904</v>
      </c>
      <c r="F6" s="28" t="str">
        <f aca="false">'Dados completos'!AI179</f>
        <v>Boa</v>
      </c>
      <c r="G6" s="29" t="str">
        <f aca="false">'Dados completos'!B179</f>
        <v>Santander Portugal</v>
      </c>
      <c r="H6" s="30" t="str">
        <f aca="false">'Dados completos'!C179</f>
        <v>Credit Risk Trainee</v>
      </c>
      <c r="I6" s="30" t="str">
        <f aca="false">'Dados completos'!E179</f>
        <v>Banca comercial</v>
      </c>
      <c r="J6" s="24" t="str">
        <f aca="false">'Dados completos'!F179</f>
        <v>Portugal</v>
      </c>
      <c r="K6" s="30" t="str">
        <f aca="false">'Dados completos'!G179</f>
        <v>Lisboa</v>
      </c>
      <c r="L6" s="30" t="str">
        <f aca="false">'Dados completos'!H179</f>
        <v>Não indicado (provável presencial)</v>
      </c>
      <c r="M6" s="30" t="str">
        <f aca="false">'Dados completos'!I179</f>
        <v>Não indicado</v>
      </c>
      <c r="N6" s="31" t="str">
        <f aca="false">'Dados completos'!O179</f>
        <v>Não indicado</v>
      </c>
      <c r="O6" s="28" t="str">
        <f aca="false">'Dados completos'!V179</f>
        <v>Média</v>
      </c>
      <c r="P6" s="30" t="str">
        <f aca="false">IF('Dados completos'!R179="","n/d",IF('Dados completos'!R179='Dados completos'!S179,TEXT('Dados completos'!R179,"#,##0"),TEXT('Dados completos'!R179,"#,##0")&amp;", "&amp;TEXT('Dados completos'!S179,"#,##0")))</f>
        <v>1,000, 1,300</v>
      </c>
      <c r="Q6" s="30" t="str">
        <f aca="false">'Dados completos'!M179</f>
        <v>Inglês (ver oferta)</v>
      </c>
      <c r="R6" s="30" t="str">
        <f aca="false">'Dados completos'!AJ179</f>
        <v>Língua-chave PT (exigência 0.3); não exige experiência prévia em finanças; aceita recém-licenciadas.</v>
      </c>
      <c r="S6" s="30" t="str">
        <f aca="false">'Dados completos'!AK179</f>
        <v>Por confirmar</v>
      </c>
      <c r="T6" s="24" t="str">
        <f aca="false">'Dados completos'!AP179</f>
        <v>Parcial (agregador/título)</v>
      </c>
      <c r="U6" s="30" t="str">
        <f aca="false">'Dados completos'!AO179</f>
        <v>Anúncio em plataforma</v>
      </c>
      <c r="V6" s="32" t="str">
        <f aca="false">HYPERLINK('Dados completos'!AN179,"Abrir")</f>
        <v>Abrir</v>
      </c>
    </row>
    <row r="7" customFormat="false" ht="45.75" hidden="false" customHeight="true" outlineLevel="0" collapsed="false">
      <c r="A7" s="24" t="n">
        <f aca="false">'Dados completos'!A38</f>
        <v>35</v>
      </c>
      <c r="B7" s="25" t="str">
        <f aca="false">'Dados completos'!AL38</f>
        <v>Candidatar (reach)</v>
      </c>
      <c r="C7" s="24" t="n">
        <f aca="false">'Dados completos'!Y38</f>
        <v>3.4</v>
      </c>
      <c r="D7" s="26" t="n">
        <f aca="false">'Dados completos'!AF38</f>
        <v>89.5</v>
      </c>
      <c r="E7" s="27" t="n">
        <f aca="false">'Dados completos'!AH38</f>
        <v>0.17688</v>
      </c>
      <c r="F7" s="28" t="str">
        <f aca="false">'Dados completos'!AI38</f>
        <v>Boa</v>
      </c>
      <c r="G7" s="29" t="str">
        <f aca="false">'Dados completos'!B38</f>
        <v>Banco Santander (Portugal)</v>
      </c>
      <c r="H7" s="30" t="str">
        <f aca="false">'Dados completos'!C38</f>
        <v>Programa de Estágios, Candidatura espontânea (Lisboa)</v>
      </c>
      <c r="I7" s="30" t="str">
        <f aca="false">'Dados completos'!E38</f>
        <v>Banca comercial</v>
      </c>
      <c r="J7" s="24" t="str">
        <f aca="false">'Dados completos'!F38</f>
        <v>Portugal</v>
      </c>
      <c r="K7" s="30" t="str">
        <f aca="false">'Dados completos'!G38</f>
        <v>Lisboa</v>
      </c>
      <c r="L7" s="30" t="str">
        <f aca="false">'Dados completos'!H38</f>
        <v>Não indicado (provável presencial)</v>
      </c>
      <c r="M7" s="30" t="str">
        <f aca="false">'Dados completos'!I38</f>
        <v>Flexível</v>
      </c>
      <c r="N7" s="31" t="str">
        <f aca="false">'Dados completos'!O38</f>
        <v>Aberta (espontânea)</v>
      </c>
      <c r="O7" s="28" t="str">
        <f aca="false">'Dados completos'!V38</f>
        <v>Média</v>
      </c>
      <c r="P7" s="30" t="str">
        <f aca="false">IF('Dados completos'!R38="","n/d",IF('Dados completos'!R38='Dados completos'!S38,TEXT('Dados completos'!R38,"#,##0"),TEXT('Dados completos'!R38,"#,##0")&amp;", "&amp;TEXT('Dados completos'!S38,"#,##0")))</f>
        <v>1,000, 1,300</v>
      </c>
      <c r="Q7" s="30" t="str">
        <f aca="false">'Dados completos'!M38</f>
        <v>Português e inglês</v>
      </c>
      <c r="R7" s="30" t="str">
        <f aca="false">'Dados completos'!AJ38</f>
        <v>Língua-chave PT (exigência 1); não exige experiência prévia em finanças; aceita recém-licenciadas.</v>
      </c>
      <c r="S7" s="30" t="str">
        <f aca="false">'Dados completos'!AK38</f>
        <v>Aberta (rolling)</v>
      </c>
      <c r="T7" s="24" t="str">
        <f aca="false">'Dados completos'!AP38</f>
        <v>Parcial (agregador/título)</v>
      </c>
      <c r="U7" s="30" t="str">
        <f aca="false">'Dados completos'!AO38</f>
        <v>Página de carreiras (procurar a vaga)</v>
      </c>
      <c r="V7" s="32" t="str">
        <f aca="false">HYPERLINK('Dados completos'!AN38,"Abrir")</f>
        <v>Abrir</v>
      </c>
    </row>
    <row r="8" customFormat="false" ht="45.75" hidden="false" customHeight="true" outlineLevel="0" collapsed="false">
      <c r="A8" s="24" t="n">
        <f aca="false">'Dados completos'!A40</f>
        <v>37</v>
      </c>
      <c r="B8" s="25" t="str">
        <f aca="false">'Dados completos'!AL40</f>
        <v>Prioridade</v>
      </c>
      <c r="C8" s="24" t="n">
        <f aca="false">'Dados completos'!Y40</f>
        <v>3.6</v>
      </c>
      <c r="D8" s="26" t="n">
        <f aca="false">'Dados completos'!AF40</f>
        <v>89.5</v>
      </c>
      <c r="E8" s="27" t="n">
        <f aca="false">'Dados completos'!AH40</f>
        <v>0.17688</v>
      </c>
      <c r="F8" s="28" t="str">
        <f aca="false">'Dados completos'!AI40</f>
        <v>Boa</v>
      </c>
      <c r="G8" s="29" t="str">
        <f aca="false">'Dados completos'!B40</f>
        <v>Qualquer empresa portuguesa (PE/VC/Corporate Finance)</v>
      </c>
      <c r="H8" s="30" t="str">
        <f aca="false">'Dados completos'!C40</f>
        <v>Estágio profissional via IEFP (Estágios +Talento) + candidatura espontânea</v>
      </c>
      <c r="I8" s="30" t="str">
        <f aca="false">'Dados completos'!E40</f>
        <v>Via de acesso</v>
      </c>
      <c r="J8" s="24" t="str">
        <f aca="false">'Dados completos'!F40</f>
        <v>Portugal</v>
      </c>
      <c r="K8" s="30" t="str">
        <f aca="false">'Dados completos'!G40</f>
        <v>Lisboa (e outras)</v>
      </c>
      <c r="L8" s="30" t="str">
        <f aca="false">'Dados completos'!H40</f>
        <v>Depende da empresa</v>
      </c>
      <c r="M8" s="30" t="str">
        <f aca="false">'Dados completos'!I40</f>
        <v>Flexível (empresa candidata 12-10 a 07-12-2026)</v>
      </c>
      <c r="N8" s="31" t="str">
        <f aca="false">'Dados completos'!O40</f>
        <v>07-12-2026 (janela da empresa)</v>
      </c>
      <c r="O8" s="28" t="str">
        <f aca="false">'Dados completos'!V40</f>
        <v>Média</v>
      </c>
      <c r="P8" s="30" t="str">
        <f aca="false">IF('Dados completos'!R40="","n/d",IF('Dados completos'!R40='Dados completos'!S40,TEXT('Dados completos'!R40,"#,##0"),TEXT('Dados completos'!R40,"#,##0")&amp;", "&amp;TEXT('Dados completos'!S40,"#,##0")))</f>
        <v>1,182</v>
      </c>
      <c r="Q8" s="30" t="str">
        <f aca="false">'Dados completos'!M40</f>
        <v>Português</v>
      </c>
      <c r="R8" s="30" t="str">
        <f aca="false">'Dados completos'!AJ40</f>
        <v>Língua-chave PT (exigência 1); não exige experiência prévia em finanças; aceita recém-licenciadas.</v>
      </c>
      <c r="S8" s="30" t="str">
        <f aca="false">'Dados completos'!AK40</f>
        <v>Via a explorar</v>
      </c>
      <c r="T8" s="24" t="str">
        <f aca="false">'Dados completos'!AP40</f>
        <v>Verificada na página</v>
      </c>
      <c r="U8" s="30" t="str">
        <f aca="false">'Dados completos'!AO40</f>
        <v>Página de carreiras (procurar a vaga)</v>
      </c>
      <c r="V8" s="32" t="str">
        <f aca="false">HYPERLINK('Dados completos'!AN40,"Abrir")</f>
        <v>Abrir</v>
      </c>
    </row>
    <row r="9" customFormat="false" ht="45.75" hidden="false" customHeight="true" outlineLevel="0" collapsed="false">
      <c r="A9" s="24" t="n">
        <f aca="false">'Dados completos'!A174</f>
        <v>171</v>
      </c>
      <c r="B9" s="25" t="str">
        <f aca="false">'Dados completos'!AL174</f>
        <v>Prioridade</v>
      </c>
      <c r="C9" s="24" t="n">
        <f aca="false">'Dados completos'!Y174</f>
        <v>4.2</v>
      </c>
      <c r="D9" s="26" t="n">
        <f aca="false">'Dados completos'!AF174</f>
        <v>88.75</v>
      </c>
      <c r="E9" s="27" t="n">
        <f aca="false">'Dados completos'!AH174</f>
        <v>0.1172</v>
      </c>
      <c r="F9" s="28" t="str">
        <f aca="false">'Dados completos'!AI174</f>
        <v>Boa</v>
      </c>
      <c r="G9" s="29" t="str">
        <f aca="false">'Dados completos'!B174</f>
        <v>Caixa Geral de Depósitos</v>
      </c>
      <c r="H9" s="30" t="str">
        <f aca="false">'Dados completos'!C174</f>
        <v>Estagiário(a), Direção de Mercados Financeiros</v>
      </c>
      <c r="I9" s="30" t="str">
        <f aca="false">'Dados completos'!E174</f>
        <v>Banca comercial</v>
      </c>
      <c r="J9" s="24" t="str">
        <f aca="false">'Dados completos'!F174</f>
        <v>Portugal</v>
      </c>
      <c r="K9" s="30" t="str">
        <f aca="false">'Dados completos'!G174</f>
        <v>Lisboa</v>
      </c>
      <c r="L9" s="30" t="str">
        <f aca="false">'Dados completos'!H174</f>
        <v>Não indicado (provável presencial)</v>
      </c>
      <c r="M9" s="30" t="str">
        <f aca="false">'Dados completos'!I174</f>
        <v>Não indicado</v>
      </c>
      <c r="N9" s="31" t="str">
        <f aca="false">'Dados completos'!O174</f>
        <v>Não indicado</v>
      </c>
      <c r="O9" s="28" t="str">
        <f aca="false">'Dados completos'!V174</f>
        <v>Média-alta</v>
      </c>
      <c r="P9" s="30" t="str">
        <f aca="false">IF('Dados completos'!R174="","n/d",IF('Dados completos'!R174='Dados completos'!S174,TEXT('Dados completos'!R174,"#,##0"),TEXT('Dados completos'!R174,"#,##0")&amp;", "&amp;TEXT('Dados completos'!S174,"#,##0")))</f>
        <v>1,000, 1,300</v>
      </c>
      <c r="Q9" s="30" t="str">
        <f aca="false">'Dados completos'!M174</f>
        <v>Português e inglês</v>
      </c>
      <c r="R9" s="30" t="str">
        <f aca="false">'Dados completos'!AJ174</f>
        <v>Língua-chave PT (exigência 0.3); não exige experiência prévia em finanças; aceita recém-licenciadas.</v>
      </c>
      <c r="S9" s="30" t="str">
        <f aca="false">'Dados completos'!AK174</f>
        <v>Aberta (prazo não indicado)</v>
      </c>
      <c r="T9" s="24" t="str">
        <f aca="false">'Dados completos'!AP174</f>
        <v>Parcial (agregador/título)</v>
      </c>
      <c r="U9" s="30" t="str">
        <f aca="false">'Dados completos'!AO174</f>
        <v>Direto (site/ATS da empresa)</v>
      </c>
      <c r="V9" s="32" t="str">
        <f aca="false">HYPERLINK('Dados completos'!AN174,"Abrir")</f>
        <v>Abrir</v>
      </c>
    </row>
    <row r="10" customFormat="false" ht="45.75" hidden="false" customHeight="true" outlineLevel="0" collapsed="false">
      <c r="A10" s="24" t="n">
        <f aca="false">'Dados completos'!A16</f>
        <v>13</v>
      </c>
      <c r="B10" s="25" t="str">
        <f aca="false">'Dados completos'!AL16</f>
        <v>Prioridade</v>
      </c>
      <c r="C10" s="24" t="n">
        <f aca="false">'Dados completos'!Y16</f>
        <v>3.8</v>
      </c>
      <c r="D10" s="26" t="n">
        <f aca="false">'Dados completos'!AF16</f>
        <v>89.5</v>
      </c>
      <c r="E10" s="27" t="n">
        <f aca="false">'Dados completos'!AH16</f>
        <v>0.11792</v>
      </c>
      <c r="F10" s="28" t="str">
        <f aca="false">'Dados completos'!AI16</f>
        <v>Boa</v>
      </c>
      <c r="G10" s="29" t="str">
        <f aca="false">'Dados completos'!B16</f>
        <v>EY-Parthenon</v>
      </c>
      <c r="H10" s="30" t="str">
        <f aca="false">'Dados completos'!C16</f>
        <v>Business Analyst, EY-Parthenon M&amp;A (Real Estate) (Lisboa)</v>
      </c>
      <c r="I10" s="30" t="str">
        <f aca="false">'Dados completos'!E16</f>
        <v>Big 4 / consultoria</v>
      </c>
      <c r="J10" s="24" t="str">
        <f aca="false">'Dados completos'!F16</f>
        <v>Portugal</v>
      </c>
      <c r="K10" s="30" t="str">
        <f aca="false">'Dados completos'!G16</f>
        <v>Lisboa</v>
      </c>
      <c r="L10" s="30" t="str">
        <f aca="false">'Dados completos'!H16</f>
        <v>Híbrido</v>
      </c>
      <c r="M10" s="30" t="str">
        <f aca="false">'Dados completos'!I16</f>
        <v>Imediato</v>
      </c>
      <c r="N10" s="31" t="str">
        <f aca="false">'Dados completos'!O16</f>
        <v>Não indicado (publicada 11-08-2026)</v>
      </c>
      <c r="O10" s="28" t="str">
        <f aca="false">'Dados completos'!V16</f>
        <v>Média-alta</v>
      </c>
      <c r="P10" s="30" t="str">
        <f aca="false">IF('Dados completos'!R16="","n/d",IF('Dados completos'!R16='Dados completos'!S16,TEXT('Dados completos'!R16,"#,##0"),TEXT('Dados completos'!R16,"#,##0")&amp;", "&amp;TEXT('Dados completos'!S16,"#,##0")))</f>
        <v>1,300, 1,800</v>
      </c>
      <c r="Q10" s="30" t="str">
        <f aca="false">'Dados completos'!M16</f>
        <v>Inglês e português</v>
      </c>
      <c r="R10" s="30" t="str">
        <f aca="false">'Dados completos'!AJ16</f>
        <v>Língua-chave EN (exigência 1); não exige experiência prévia em finanças; aceita recém-licenciadas.</v>
      </c>
      <c r="S10" s="30" t="str">
        <f aca="false">'Dados completos'!AK16</f>
        <v>Aberta (prazo não indicado)</v>
      </c>
      <c r="T10" s="24" t="str">
        <f aca="false">'Dados completos'!AP16</f>
        <v>Parcial (agregador/título)</v>
      </c>
      <c r="U10" s="30" t="str">
        <f aca="false">'Dados completos'!AO16</f>
        <v>Página de carreiras (procurar a vaga)</v>
      </c>
      <c r="V10" s="32" t="str">
        <f aca="false">HYPERLINK('Dados completos'!AN16,"Abrir")</f>
        <v>Abrir</v>
      </c>
    </row>
    <row r="11" customFormat="false" ht="45.75" hidden="false" customHeight="true" outlineLevel="0" collapsed="false">
      <c r="A11" s="24" t="n">
        <f aca="false">'Dados completos'!A15</f>
        <v>12</v>
      </c>
      <c r="B11" s="25" t="str">
        <f aca="false">'Dados completos'!AL15</f>
        <v>Prioridade</v>
      </c>
      <c r="C11" s="24" t="n">
        <f aca="false">'Dados completos'!Y15</f>
        <v>4</v>
      </c>
      <c r="D11" s="26" t="n">
        <f aca="false">'Dados completos'!AF15</f>
        <v>88</v>
      </c>
      <c r="E11" s="27" t="n">
        <f aca="false">'Dados completos'!AH15</f>
        <v>0.11648</v>
      </c>
      <c r="F11" s="28" t="str">
        <f aca="false">'Dados completos'!AI15</f>
        <v>Boa</v>
      </c>
      <c r="G11" s="29" t="str">
        <f aca="false">'Dados completos'!B15</f>
        <v>BNP Paribas</v>
      </c>
      <c r="H11" s="30" t="str">
        <f aca="false">'Dados completos'!C15</f>
        <v>Investment Banking Trainee, M&amp;A Advisory (Lisboa)</v>
      </c>
      <c r="I11" s="30" t="str">
        <f aca="false">'Dados completos'!E15</f>
        <v>Banca de investimento</v>
      </c>
      <c r="J11" s="24" t="str">
        <f aca="false">'Dados completos'!F15</f>
        <v>Portugal</v>
      </c>
      <c r="K11" s="30" t="str">
        <f aca="false">'Dados completos'!G15</f>
        <v>Lisboa</v>
      </c>
      <c r="L11" s="30" t="str">
        <f aca="false">'Dados completos'!H15</f>
        <v>Híbrido</v>
      </c>
      <c r="M11" s="30" t="str">
        <f aca="false">'Dados completos'!I15</f>
        <v>Não indicado (confirmar)</v>
      </c>
      <c r="N11" s="31" t="str">
        <f aca="false">'Dados completos'!O15</f>
        <v>Não indicado</v>
      </c>
      <c r="O11" s="28" t="str">
        <f aca="false">'Dados completos'!V15</f>
        <v>Média-alta</v>
      </c>
      <c r="P11" s="30" t="str">
        <f aca="false">IF('Dados completos'!R15="","n/d",IF('Dados completos'!R15='Dados completos'!S15,TEXT('Dados completos'!R15,"#,##0"),TEXT('Dados completos'!R15,"#,##0")&amp;", "&amp;TEXT('Dados completos'!S15,"#,##0")))</f>
        <v>1,000, 1,400</v>
      </c>
      <c r="Q11" s="30" t="str">
        <f aca="false">'Dados completos'!M15</f>
        <v>Inglês fluente (português)</v>
      </c>
      <c r="R11" s="30" t="str">
        <f aca="false">'Dados completos'!AJ15</f>
        <v>Língua-chave EN (exigência 1); não exige experiência prévia em finanças; aceita recém-licenciadas.</v>
      </c>
      <c r="S11" s="30" t="str">
        <f aca="false">'Dados completos'!AK15</f>
        <v>Aberta (prazo não indicado)</v>
      </c>
      <c r="T11" s="24" t="str">
        <f aca="false">'Dados completos'!AP15</f>
        <v>Verificada na página</v>
      </c>
      <c r="U11" s="30" t="str">
        <f aca="false">'Dados completos'!AO15</f>
        <v>Direto (site/ATS da empresa)</v>
      </c>
      <c r="V11" s="32" t="str">
        <f aca="false">HYPERLINK('Dados completos'!AN15,"Abrir")</f>
        <v>Abrir</v>
      </c>
    </row>
    <row r="12" customFormat="false" ht="45.75" hidden="false" customHeight="true" outlineLevel="0" collapsed="false">
      <c r="A12" s="24" t="n">
        <f aca="false">'Dados completos'!A195</f>
        <v>192</v>
      </c>
      <c r="B12" s="25" t="str">
        <f aca="false">'Dados completos'!AL195</f>
        <v>Prioridade</v>
      </c>
      <c r="C12" s="24" t="n">
        <f aca="false">'Dados completos'!Y195</f>
        <v>3.9</v>
      </c>
      <c r="D12" s="26" t="n">
        <f aca="false">'Dados completos'!AF195</f>
        <v>87.55</v>
      </c>
      <c r="E12" s="27" t="n">
        <f aca="false">'Dados completos'!AH195</f>
        <v>0.116048</v>
      </c>
      <c r="F12" s="28" t="str">
        <f aca="false">'Dados completos'!AI195</f>
        <v>Boa</v>
      </c>
      <c r="G12" s="29" t="str">
        <f aca="false">'Dados completos'!B195</f>
        <v>Empresa por confirmar (gestora)</v>
      </c>
      <c r="H12" s="30" t="str">
        <f aca="false">'Dados completos'!C195</f>
        <v>Data Analyst Trainee, Real Assets (Lisboa)</v>
      </c>
      <c r="I12" s="30" t="str">
        <f aca="false">'Dados completos'!E195</f>
        <v>Serviços financeiros</v>
      </c>
      <c r="J12" s="24" t="str">
        <f aca="false">'Dados completos'!F195</f>
        <v>Portugal</v>
      </c>
      <c r="K12" s="30" t="str">
        <f aca="false">'Dados completos'!G195</f>
        <v>Lisboa</v>
      </c>
      <c r="L12" s="30" t="str">
        <f aca="false">'Dados completos'!H195</f>
        <v>Não indicado (provável presencial)</v>
      </c>
      <c r="M12" s="30" t="str">
        <f aca="false">'Dados completos'!I195</f>
        <v>Não indicado</v>
      </c>
      <c r="N12" s="31" t="str">
        <f aca="false">'Dados completos'!O195</f>
        <v>Não indicado</v>
      </c>
      <c r="O12" s="28" t="str">
        <f aca="false">'Dados completos'!V195</f>
        <v>Média-alta</v>
      </c>
      <c r="P12" s="30" t="str">
        <f aca="false">IF('Dados completos'!R195="","n/d",IF('Dados completos'!R195='Dados completos'!S195,TEXT('Dados completos'!R195,"#,##0"),TEXT('Dados completos'!R195,"#,##0")&amp;", "&amp;TEXT('Dados completos'!S195,"#,##0")))</f>
        <v>1,100, 1,500</v>
      </c>
      <c r="Q12" s="30" t="str">
        <f aca="false">'Dados completos'!M195</f>
        <v>Inglês (ver oferta)</v>
      </c>
      <c r="R12" s="30" t="str">
        <f aca="false">'Dados completos'!AJ195</f>
        <v>Língua-chave EN (exigência 0.8); não exige experiência prévia em finanças; aceita recém-licenciadas.</v>
      </c>
      <c r="S12" s="30" t="str">
        <f aca="false">'Dados completos'!AK195</f>
        <v>Por confirmar</v>
      </c>
      <c r="T12" s="24" t="str">
        <f aca="false">'Dados completos'!AP195</f>
        <v>Parcial (agregador/título)</v>
      </c>
      <c r="U12" s="30" t="str">
        <f aca="false">'Dados completos'!AO195</f>
        <v>Anúncio em plataforma</v>
      </c>
      <c r="V12" s="32" t="str">
        <f aca="false">HYPERLINK('Dados completos'!AN195,"Abrir")</f>
        <v>Abrir</v>
      </c>
    </row>
    <row r="13" customFormat="false" ht="45.75" hidden="false" customHeight="true" outlineLevel="0" collapsed="false">
      <c r="A13" s="24" t="n">
        <f aca="false">'Dados completos'!A192</f>
        <v>189</v>
      </c>
      <c r="B13" s="25" t="str">
        <f aca="false">'Dados completos'!AL192</f>
        <v>Prioridade</v>
      </c>
      <c r="C13" s="24" t="n">
        <f aca="false">'Dados completos'!Y192</f>
        <v>3.8</v>
      </c>
      <c r="D13" s="26" t="n">
        <f aca="false">'Dados completos'!AF192</f>
        <v>87.15</v>
      </c>
      <c r="E13" s="27" t="n">
        <f aca="false">'Dados completos'!AH192</f>
        <v>0.115664</v>
      </c>
      <c r="F13" s="28" t="str">
        <f aca="false">'Dados completos'!AI192</f>
        <v>Boa</v>
      </c>
      <c r="G13" s="29" t="str">
        <f aca="false">'Dados completos'!B192</f>
        <v>Euronext</v>
      </c>
      <c r="H13" s="30" t="str">
        <f aca="false">'Dados completos'!C192</f>
        <v>Early Careers (programa de 2 anos nos mercados financeiros europeus)</v>
      </c>
      <c r="I13" s="30" t="str">
        <f aca="false">'Dados completos'!E192</f>
        <v>Serviços financeiros</v>
      </c>
      <c r="J13" s="24" t="str">
        <f aca="false">'Dados completos'!F192</f>
        <v>Portugal</v>
      </c>
      <c r="K13" s="30" t="str">
        <f aca="false">'Dados completos'!G192</f>
        <v>Lisboa</v>
      </c>
      <c r="L13" s="30" t="str">
        <f aca="false">'Dados completos'!H192</f>
        <v>Não indicado (provável presencial)</v>
      </c>
      <c r="M13" s="30" t="str">
        <f aca="false">'Dados completos'!I192</f>
        <v>Não indicado</v>
      </c>
      <c r="N13" s="31" t="str">
        <f aca="false">'Dados completos'!O192</f>
        <v>Não indicado</v>
      </c>
      <c r="O13" s="28" t="str">
        <f aca="false">'Dados completos'!V192</f>
        <v>Média-alta</v>
      </c>
      <c r="P13" s="30" t="str">
        <f aca="false">IF('Dados completos'!R192="","n/d",IF('Dados completos'!R192='Dados completos'!S192,TEXT('Dados completos'!R192,"#,##0"),TEXT('Dados completos'!R192,"#,##0")&amp;", "&amp;TEXT('Dados completos'!S192,"#,##0")))</f>
        <v>1,200, 1,700</v>
      </c>
      <c r="Q13" s="30" t="str">
        <f aca="false">'Dados completos'!M192</f>
        <v>Inglês obrigatório</v>
      </c>
      <c r="R13" s="30" t="str">
        <f aca="false">'Dados completos'!AJ192</f>
        <v>Língua-chave EN (exigência 0.9); não exige experiência prévia em finanças; aceita recém-licenciadas.</v>
      </c>
      <c r="S13" s="30" t="str">
        <f aca="false">'Dados completos'!AK192</f>
        <v>Por confirmar</v>
      </c>
      <c r="T13" s="24" t="str">
        <f aca="false">'Dados completos'!AP192</f>
        <v>Parcial (agregador/título)</v>
      </c>
      <c r="U13" s="30" t="str">
        <f aca="false">'Dados completos'!AO192</f>
        <v>Página de carreiras (procurar a vaga)</v>
      </c>
      <c r="V13" s="32" t="str">
        <f aca="false">HYPERLINK('Dados completos'!AN192,"Abrir")</f>
        <v>Abrir</v>
      </c>
    </row>
    <row r="14" customFormat="false" ht="45.75" hidden="false" customHeight="true" outlineLevel="0" collapsed="false">
      <c r="A14" s="24" t="n">
        <f aca="false">'Dados completos'!A221</f>
        <v>218</v>
      </c>
      <c r="B14" s="25" t="str">
        <f aca="false">'Dados completos'!AL221</f>
        <v>Candidatar (reach)</v>
      </c>
      <c r="C14" s="24" t="n">
        <f aca="false">'Dados completos'!Y221</f>
        <v>3.1</v>
      </c>
      <c r="D14" s="26" t="n">
        <f aca="false">'Dados completos'!AF221</f>
        <v>91.3</v>
      </c>
      <c r="E14" s="27" t="n">
        <f aca="false">'Dados completos'!AH221</f>
        <v>0.179472</v>
      </c>
      <c r="F14" s="28" t="str">
        <f aca="false">'Dados completos'!AI221</f>
        <v>Boa</v>
      </c>
      <c r="G14" s="29" t="str">
        <f aca="false">'Dados completos'!B221</f>
        <v>Hilton</v>
      </c>
      <c r="H14" s="30" t="str">
        <f aca="false">'Dados completos'!C221</f>
        <v>Finance Intern / Trainee (Lisboa)</v>
      </c>
      <c r="I14" s="30" t="str">
        <f aca="false">'Dados completos'!E221</f>
        <v>Big corporate</v>
      </c>
      <c r="J14" s="24" t="str">
        <f aca="false">'Dados completos'!F221</f>
        <v>Portugal</v>
      </c>
      <c r="K14" s="30" t="str">
        <f aca="false">'Dados completos'!G221</f>
        <v>Lisboa</v>
      </c>
      <c r="L14" s="30" t="str">
        <f aca="false">'Dados completos'!H221</f>
        <v>Não indicado (provável presencial)</v>
      </c>
      <c r="M14" s="30" t="str">
        <f aca="false">'Dados completos'!I221</f>
        <v>Não indicado</v>
      </c>
      <c r="N14" s="31" t="str">
        <f aca="false">'Dados completos'!O221</f>
        <v>Não indicado</v>
      </c>
      <c r="O14" s="28" t="str">
        <f aca="false">'Dados completos'!V221</f>
        <v>Média</v>
      </c>
      <c r="P14" s="30" t="str">
        <f aca="false">IF('Dados completos'!R221="","n/d",IF('Dados completos'!R221='Dados completos'!S221,TEXT('Dados completos'!R221,"#,##0"),TEXT('Dados completos'!R221,"#,##0")&amp;", "&amp;TEXT('Dados completos'!S221,"#,##0")))</f>
        <v>1,000, 1,300</v>
      </c>
      <c r="Q14" s="30" t="str">
        <f aca="false">'Dados completos'!M221</f>
        <v>Inglês (ver oferta)</v>
      </c>
      <c r="R14" s="30" t="str">
        <f aca="false">'Dados completos'!AJ221</f>
        <v>Língua-chave EN (exigência 0.8); não exige experiência prévia em finanças; aceita recém-licenciadas.</v>
      </c>
      <c r="S14" s="30" t="str">
        <f aca="false">'Dados completos'!AK221</f>
        <v>Por confirmar</v>
      </c>
      <c r="T14" s="24" t="str">
        <f aca="false">'Dados completos'!AP221</f>
        <v>Parcial (agregador/título)</v>
      </c>
      <c r="U14" s="30" t="str">
        <f aca="false">'Dados completos'!AO221</f>
        <v>Anúncio em plataforma</v>
      </c>
      <c r="V14" s="32" t="str">
        <f aca="false">HYPERLINK('Dados completos'!AN221,"Abrir")</f>
        <v>Abrir</v>
      </c>
    </row>
    <row r="15" customFormat="false" ht="45.75" hidden="false" customHeight="true" outlineLevel="0" collapsed="false">
      <c r="A15" s="24" t="n">
        <f aca="false">'Dados completos'!A222</f>
        <v>219</v>
      </c>
      <c r="B15" s="25" t="str">
        <f aca="false">'Dados completos'!AL222</f>
        <v>Candidatar (reach)</v>
      </c>
      <c r="C15" s="24" t="n">
        <f aca="false">'Dados completos'!Y222</f>
        <v>3.1</v>
      </c>
      <c r="D15" s="26" t="n">
        <f aca="false">'Dados completos'!AF222</f>
        <v>91.3</v>
      </c>
      <c r="E15" s="27" t="n">
        <f aca="false">'Dados completos'!AH222</f>
        <v>0.179472</v>
      </c>
      <c r="F15" s="28" t="str">
        <f aca="false">'Dados completos'!AI222</f>
        <v>Boa</v>
      </c>
      <c r="G15" s="29" t="str">
        <f aca="false">'Dados completos'!B222</f>
        <v>Solen Software Group</v>
      </c>
      <c r="H15" s="30" t="str">
        <f aca="false">'Dados completos'!C222</f>
        <v>Finance Internship (Lisboa)</v>
      </c>
      <c r="I15" s="30" t="str">
        <f aca="false">'Dados completos'!E222</f>
        <v>Startup / scale-up</v>
      </c>
      <c r="J15" s="24" t="str">
        <f aca="false">'Dados completos'!F222</f>
        <v>Portugal</v>
      </c>
      <c r="K15" s="30" t="str">
        <f aca="false">'Dados completos'!G222</f>
        <v>Lisboa</v>
      </c>
      <c r="L15" s="30" t="str">
        <f aca="false">'Dados completos'!H222</f>
        <v>Não indicado (provável presencial)</v>
      </c>
      <c r="M15" s="30" t="str">
        <f aca="false">'Dados completos'!I222</f>
        <v>Não indicado</v>
      </c>
      <c r="N15" s="31" t="str">
        <f aca="false">'Dados completos'!O222</f>
        <v>Não indicado</v>
      </c>
      <c r="O15" s="28" t="str">
        <f aca="false">'Dados completos'!V222</f>
        <v>Média</v>
      </c>
      <c r="P15" s="30" t="str">
        <f aca="false">IF('Dados completos'!R222="","n/d",IF('Dados completos'!R222='Dados completos'!S222,TEXT('Dados completos'!R222,"#,##0"),TEXT('Dados completos'!R222,"#,##0")&amp;", "&amp;TEXT('Dados completos'!S222,"#,##0")))</f>
        <v>900, 1,200</v>
      </c>
      <c r="Q15" s="30" t="str">
        <f aca="false">'Dados completos'!M222</f>
        <v>Inglês (ver oferta)</v>
      </c>
      <c r="R15" s="30" t="str">
        <f aca="false">'Dados completos'!AJ222</f>
        <v>Língua-chave EN (exigência 0.8); não exige experiência prévia em finanças; aceita recém-licenciadas.</v>
      </c>
      <c r="S15" s="30" t="str">
        <f aca="false">'Dados completos'!AK222</f>
        <v>Por confirmar</v>
      </c>
      <c r="T15" s="24" t="str">
        <f aca="false">'Dados completos'!AP222</f>
        <v>Parcial (agregador/título)</v>
      </c>
      <c r="U15" s="30" t="str">
        <f aca="false">'Dados completos'!AO222</f>
        <v>Anúncio em plataforma</v>
      </c>
      <c r="V15" s="32" t="str">
        <f aca="false">HYPERLINK('Dados completos'!AN222,"Abrir")</f>
        <v>Abrir</v>
      </c>
    </row>
    <row r="16" customFormat="false" ht="45.75" hidden="false" customHeight="true" outlineLevel="0" collapsed="false">
      <c r="A16" s="24" t="n">
        <f aca="false">'Dados completos'!A180</f>
        <v>177</v>
      </c>
      <c r="B16" s="25" t="str">
        <f aca="false">'Dados completos'!AL180</f>
        <v>Prioridade</v>
      </c>
      <c r="C16" s="24" t="n">
        <f aca="false">'Dados completos'!Y180</f>
        <v>3.7</v>
      </c>
      <c r="D16" s="26" t="n">
        <f aca="false">'Dados completos'!AF180</f>
        <v>89.5</v>
      </c>
      <c r="E16" s="27" t="n">
        <f aca="false">'Dados completos'!AH180</f>
        <v>0.11792</v>
      </c>
      <c r="F16" s="28" t="str">
        <f aca="false">'Dados completos'!AI180</f>
        <v>Boa</v>
      </c>
      <c r="G16" s="29" t="str">
        <f aca="false">'Dados completos'!B180</f>
        <v>BNP Paribas CIB</v>
      </c>
      <c r="H16" s="30" t="str">
        <f aca="false">'Dados completos'!C180</f>
        <v>Strategy and Strategic Investments Trainee (Global Markets, Lisboa)</v>
      </c>
      <c r="I16" s="30" t="str">
        <f aca="false">'Dados completos'!E180</f>
        <v>Banca comercial</v>
      </c>
      <c r="J16" s="24" t="str">
        <f aca="false">'Dados completos'!F180</f>
        <v>Portugal</v>
      </c>
      <c r="K16" s="30" t="str">
        <f aca="false">'Dados completos'!G180</f>
        <v>Lisboa</v>
      </c>
      <c r="L16" s="30" t="str">
        <f aca="false">'Dados completos'!H180</f>
        <v>Não indicado (provável presencial)</v>
      </c>
      <c r="M16" s="30" t="str">
        <f aca="false">'Dados completos'!I180</f>
        <v>Não indicado</v>
      </c>
      <c r="N16" s="31" t="str">
        <f aca="false">'Dados completos'!O180</f>
        <v>Não indicado</v>
      </c>
      <c r="O16" s="28" t="str">
        <f aca="false">'Dados completos'!V180</f>
        <v>Média-alta</v>
      </c>
      <c r="P16" s="30" t="str">
        <f aca="false">IF('Dados completos'!R180="","n/d",IF('Dados completos'!R180='Dados completos'!S180,TEXT('Dados completos'!R180,"#,##0"),TEXT('Dados completos'!R180,"#,##0")&amp;", "&amp;TEXT('Dados completos'!S180,"#,##0")))</f>
        <v>1,100, 1,500</v>
      </c>
      <c r="Q16" s="30" t="str">
        <f aca="false">'Dados completos'!M180</f>
        <v>Inglês (candidatura só em inglês)</v>
      </c>
      <c r="R16" s="30" t="str">
        <f aca="false">'Dados completos'!AJ180</f>
        <v>Língua-chave EN (exigência 1); não exige experiência prévia em finanças; aceita recém-licenciadas.</v>
      </c>
      <c r="S16" s="30" t="str">
        <f aca="false">'Dados completos'!AK180</f>
        <v>Aberta (prazo não indicado)</v>
      </c>
      <c r="T16" s="24" t="str">
        <f aca="false">'Dados completos'!AP180</f>
        <v>Verificada na página</v>
      </c>
      <c r="U16" s="30" t="str">
        <f aca="false">'Dados completos'!AO180</f>
        <v>Direto (site/ATS da empresa)</v>
      </c>
      <c r="V16" s="32" t="str">
        <f aca="false">HYPERLINK('Dados completos'!AN180,"Abrir")</f>
        <v>Abrir</v>
      </c>
    </row>
    <row r="17" customFormat="false" ht="45.75" hidden="false" customHeight="true" outlineLevel="0" collapsed="false">
      <c r="A17" s="24" t="n">
        <f aca="false">'Dados completos'!A161</f>
        <v>158</v>
      </c>
      <c r="B17" s="25" t="str">
        <f aca="false">'Dados completos'!AL161</f>
        <v>Prioridade</v>
      </c>
      <c r="C17" s="24" t="n">
        <f aca="false">'Dados completos'!Y161</f>
        <v>3.6</v>
      </c>
      <c r="D17" s="26" t="n">
        <f aca="false">'Dados completos'!AF161</f>
        <v>87.25</v>
      </c>
      <c r="E17" s="27" t="n">
        <f aca="false">'Dados completos'!AH161</f>
        <v>0.11576</v>
      </c>
      <c r="F17" s="28" t="str">
        <f aca="false">'Dados completos'!AI161</f>
        <v>Boa</v>
      </c>
      <c r="G17" s="29" t="str">
        <f aca="false">'Dados completos'!B161</f>
        <v>BNP Paribas</v>
      </c>
      <c r="H17" s="30" t="str">
        <f aca="false">'Dados completos'!C161</f>
        <v>Trainee Fixed Income Analyst (Lisboa)</v>
      </c>
      <c r="I17" s="30" t="str">
        <f aca="false">'Dados completos'!E161</f>
        <v>Banca de investimento</v>
      </c>
      <c r="J17" s="24" t="str">
        <f aca="false">'Dados completos'!F161</f>
        <v>Portugal</v>
      </c>
      <c r="K17" s="30" t="str">
        <f aca="false">'Dados completos'!G161</f>
        <v>Lisboa</v>
      </c>
      <c r="L17" s="30" t="str">
        <f aca="false">'Dados completos'!H161</f>
        <v>Não indicado (provável presencial)</v>
      </c>
      <c r="M17" s="30" t="str">
        <f aca="false">'Dados completos'!I161</f>
        <v>Não indicado</v>
      </c>
      <c r="N17" s="31" t="str">
        <f aca="false">'Dados completos'!O161</f>
        <v>Não indicado</v>
      </c>
      <c r="O17" s="28" t="str">
        <f aca="false">'Dados completos'!V161</f>
        <v>Média-alta</v>
      </c>
      <c r="P17" s="30" t="str">
        <f aca="false">IF('Dados completos'!R161="","n/d",IF('Dados completos'!R161='Dados completos'!S161,TEXT('Dados completos'!R161,"#,##0"),TEXT('Dados completos'!R161,"#,##0")&amp;", "&amp;TEXT('Dados completos'!S161,"#,##0")))</f>
        <v>1,000, 1,400</v>
      </c>
      <c r="Q17" s="30" t="str">
        <f aca="false">'Dados completos'!M161</f>
        <v>Inglês (ver oferta)</v>
      </c>
      <c r="R17" s="30" t="str">
        <f aca="false">'Dados completos'!AJ161</f>
        <v>Língua-chave EN (exigência 1); não exige experiência prévia em finanças; aceita recém-licenciadas.</v>
      </c>
      <c r="S17" s="30" t="str">
        <f aca="false">'Dados completos'!AK161</f>
        <v>Por confirmar</v>
      </c>
      <c r="T17" s="24" t="str">
        <f aca="false">'Dados completos'!AP161</f>
        <v>Parcial (agregador/título)</v>
      </c>
      <c r="U17" s="30" t="str">
        <f aca="false">'Dados completos'!AO161</f>
        <v>Direto (site/ATS da empresa)</v>
      </c>
      <c r="V17" s="32" t="str">
        <f aca="false">HYPERLINK('Dados completos'!AN161,"Abrir")</f>
        <v>Abrir</v>
      </c>
    </row>
    <row r="18" customFormat="false" ht="45.75" hidden="false" customHeight="true" outlineLevel="0" collapsed="false">
      <c r="A18" s="24" t="n">
        <f aca="false">'Dados completos'!A162</f>
        <v>159</v>
      </c>
      <c r="B18" s="25" t="str">
        <f aca="false">'Dados completos'!AL162</f>
        <v>Prioridade</v>
      </c>
      <c r="C18" s="24" t="n">
        <f aca="false">'Dados completos'!Y162</f>
        <v>3.6</v>
      </c>
      <c r="D18" s="26" t="n">
        <f aca="false">'Dados completos'!AF162</f>
        <v>87.25</v>
      </c>
      <c r="E18" s="27" t="n">
        <f aca="false">'Dados completos'!AH162</f>
        <v>0.11576</v>
      </c>
      <c r="F18" s="28" t="str">
        <f aca="false">'Dados completos'!AI162</f>
        <v>Boa</v>
      </c>
      <c r="G18" s="29" t="str">
        <f aca="false">'Dados completos'!B162</f>
        <v>BNP Paribas</v>
      </c>
      <c r="H18" s="30" t="str">
        <f aca="false">'Dados completos'!C162</f>
        <v>Financial &amp; International Markets Trainee (Lisboa)</v>
      </c>
      <c r="I18" s="30" t="str">
        <f aca="false">'Dados completos'!E162</f>
        <v>Banca de investimento</v>
      </c>
      <c r="J18" s="24" t="str">
        <f aca="false">'Dados completos'!F162</f>
        <v>Portugal</v>
      </c>
      <c r="K18" s="30" t="str">
        <f aca="false">'Dados completos'!G162</f>
        <v>Lisboa</v>
      </c>
      <c r="L18" s="30" t="str">
        <f aca="false">'Dados completos'!H162</f>
        <v>Não indicado (provável presencial)</v>
      </c>
      <c r="M18" s="30" t="str">
        <f aca="false">'Dados completos'!I162</f>
        <v>Não indicado</v>
      </c>
      <c r="N18" s="31" t="str">
        <f aca="false">'Dados completos'!O162</f>
        <v>Não indicado</v>
      </c>
      <c r="O18" s="28" t="str">
        <f aca="false">'Dados completos'!V162</f>
        <v>Média-alta</v>
      </c>
      <c r="P18" s="30" t="str">
        <f aca="false">IF('Dados completos'!R162="","n/d",IF('Dados completos'!R162='Dados completos'!S162,TEXT('Dados completos'!R162,"#,##0"),TEXT('Dados completos'!R162,"#,##0")&amp;", "&amp;TEXT('Dados completos'!S162,"#,##0")))</f>
        <v>1,000, 1,400</v>
      </c>
      <c r="Q18" s="30" t="str">
        <f aca="false">'Dados completos'!M162</f>
        <v>Inglês (ver oferta)</v>
      </c>
      <c r="R18" s="30" t="str">
        <f aca="false">'Dados completos'!AJ162</f>
        <v>Língua-chave EN (exigência 1); não exige experiência prévia em finanças; aceita recém-licenciadas.</v>
      </c>
      <c r="S18" s="30" t="str">
        <f aca="false">'Dados completos'!AK162</f>
        <v>Por confirmar</v>
      </c>
      <c r="T18" s="24" t="str">
        <f aca="false">'Dados completos'!AP162</f>
        <v>Parcial (agregador/título)</v>
      </c>
      <c r="U18" s="30" t="str">
        <f aca="false">'Dados completos'!AO162</f>
        <v>Direto (site/ATS da empresa)</v>
      </c>
      <c r="V18" s="32" t="str">
        <f aca="false">HYPERLINK('Dados completos'!AN162,"Abrir")</f>
        <v>Abrir</v>
      </c>
    </row>
    <row r="19" customFormat="false" ht="45.75" hidden="false" customHeight="true" outlineLevel="0" collapsed="false">
      <c r="A19" s="24" t="n">
        <f aca="false">'Dados completos'!A183</f>
        <v>180</v>
      </c>
      <c r="B19" s="25" t="str">
        <f aca="false">'Dados completos'!AL183</f>
        <v>Prioridade</v>
      </c>
      <c r="C19" s="24" t="n">
        <f aca="false">'Dados completos'!Y183</f>
        <v>3.5</v>
      </c>
      <c r="D19" s="26" t="n">
        <f aca="false">'Dados completos'!AF183</f>
        <v>92.5</v>
      </c>
      <c r="E19" s="27" t="n">
        <f aca="false">'Dados completos'!AH183</f>
        <v>0.1208</v>
      </c>
      <c r="F19" s="28" t="str">
        <f aca="false">'Dados completos'!AI183</f>
        <v>Boa</v>
      </c>
      <c r="G19" s="29" t="str">
        <f aca="false">'Dados completos'!B183</f>
        <v>Deloitte Portugal</v>
      </c>
      <c r="H19" s="30" t="str">
        <f aca="false">'Dados completos'!C183</f>
        <v>Hello World 26/27, New Graduates (Financial Advisory, Risk Advisory, Consulting, Audit, Tax)</v>
      </c>
      <c r="I19" s="30" t="str">
        <f aca="false">'Dados completos'!E183</f>
        <v>Big 4 / consultoria</v>
      </c>
      <c r="J19" s="24" t="str">
        <f aca="false">'Dados completos'!F183</f>
        <v>Portugal</v>
      </c>
      <c r="K19" s="30" t="str">
        <f aca="false">'Dados completos'!G183</f>
        <v>Lisboa</v>
      </c>
      <c r="L19" s="30" t="str">
        <f aca="false">'Dados completos'!H183</f>
        <v>Não indicado (provável presencial)</v>
      </c>
      <c r="M19" s="30" t="str">
        <f aca="false">'Dados completos'!I183</f>
        <v>Não indicado</v>
      </c>
      <c r="N19" s="31" t="str">
        <f aca="false">'Dados completos'!O183</f>
        <v>Não indicado</v>
      </c>
      <c r="O19" s="28" t="str">
        <f aca="false">'Dados completos'!V183</f>
        <v>Média-alta</v>
      </c>
      <c r="P19" s="30" t="str">
        <f aca="false">IF('Dados completos'!R183="","n/d",IF('Dados completos'!R183='Dados completos'!S183,TEXT('Dados completos'!R183,"#,##0"),TEXT('Dados completos'!R183,"#,##0")&amp;", "&amp;TEXT('Dados completos'!S183,"#,##0")))</f>
        <v>1,200, 1,500</v>
      </c>
      <c r="Q19" s="30" t="str">
        <f aca="false">'Dados completos'!M183</f>
        <v>Português e inglês</v>
      </c>
      <c r="R19" s="30" t="str">
        <f aca="false">'Dados completos'!AJ183</f>
        <v>Língua-chave PT (exigência 0.3); não exige experiência prévia em finanças; aceita recém-licenciadas.</v>
      </c>
      <c r="S19" s="30" t="str">
        <f aca="false">'Dados completos'!AK183</f>
        <v>Aberta (prazo não indicado)</v>
      </c>
      <c r="T19" s="24" t="str">
        <f aca="false">'Dados completos'!AP183</f>
        <v>Verificada na página</v>
      </c>
      <c r="U19" s="30" t="str">
        <f aca="false">'Dados completos'!AO183</f>
        <v>Direto (site/ATS da empresa)</v>
      </c>
      <c r="V19" s="32" t="str">
        <f aca="false">HYPERLINK('Dados completos'!AN183,"Abrir")</f>
        <v>Abrir</v>
      </c>
    </row>
    <row r="20" customFormat="false" ht="45.75" hidden="false" customHeight="true" outlineLevel="0" collapsed="false">
      <c r="A20" s="24" t="n">
        <f aca="false">'Dados completos'!A184</f>
        <v>181</v>
      </c>
      <c r="B20" s="25" t="str">
        <f aca="false">'Dados completos'!AL184</f>
        <v>Prioridade</v>
      </c>
      <c r="C20" s="24" t="n">
        <f aca="false">'Dados completos'!Y184</f>
        <v>3.5</v>
      </c>
      <c r="D20" s="26" t="n">
        <f aca="false">'Dados completos'!AF184</f>
        <v>92.5</v>
      </c>
      <c r="E20" s="27" t="n">
        <f aca="false">'Dados completos'!AH184</f>
        <v>0.1208</v>
      </c>
      <c r="F20" s="28" t="str">
        <f aca="false">'Dados completos'!AI184</f>
        <v>Boa</v>
      </c>
      <c r="G20" s="29" t="str">
        <f aca="false">'Dados completos'!B184</f>
        <v>Deloitte Portugal</v>
      </c>
      <c r="H20" s="30" t="str">
        <f aca="false">'Dados completos'!C184</f>
        <v>Candidatura espontânea (Lisboa)</v>
      </c>
      <c r="I20" s="30" t="str">
        <f aca="false">'Dados completos'!E184</f>
        <v>Big 4 / consultoria</v>
      </c>
      <c r="J20" s="24" t="str">
        <f aca="false">'Dados completos'!F184</f>
        <v>Portugal</v>
      </c>
      <c r="K20" s="30" t="str">
        <f aca="false">'Dados completos'!G184</f>
        <v>Lisboa</v>
      </c>
      <c r="L20" s="30" t="str">
        <f aca="false">'Dados completos'!H184</f>
        <v>Não indicado (provável presencial)</v>
      </c>
      <c r="M20" s="30" t="str">
        <f aca="false">'Dados completos'!I184</f>
        <v>Não indicado</v>
      </c>
      <c r="N20" s="31" t="str">
        <f aca="false">'Dados completos'!O184</f>
        <v>Não indicado</v>
      </c>
      <c r="O20" s="28" t="str">
        <f aca="false">'Dados completos'!V184</f>
        <v>Média-alta</v>
      </c>
      <c r="P20" s="30" t="str">
        <f aca="false">IF('Dados completos'!R184="","n/d",IF('Dados completos'!R184='Dados completos'!S184,TEXT('Dados completos'!R184,"#,##0"),TEXT('Dados completos'!R184,"#,##0")&amp;", "&amp;TEXT('Dados completos'!S184,"#,##0")))</f>
        <v>1,200, 1,500</v>
      </c>
      <c r="Q20" s="30" t="str">
        <f aca="false">'Dados completos'!M184</f>
        <v>Inglês (ver oferta)</v>
      </c>
      <c r="R20" s="30" t="str">
        <f aca="false">'Dados completos'!AJ184</f>
        <v>Língua-chave PT (exigência 0.3); não exige experiência prévia em finanças; aceita recém-licenciadas.</v>
      </c>
      <c r="S20" s="30" t="str">
        <f aca="false">'Dados completos'!AK184</f>
        <v>Aberta (prazo não indicado)</v>
      </c>
      <c r="T20" s="24" t="str">
        <f aca="false">'Dados completos'!AP184</f>
        <v>Parcial (agregador/título)</v>
      </c>
      <c r="U20" s="30" t="str">
        <f aca="false">'Dados completos'!AO184</f>
        <v>Direto (site/ATS da empresa)</v>
      </c>
      <c r="V20" s="32" t="str">
        <f aca="false">HYPERLINK('Dados completos'!AN184,"Abrir")</f>
        <v>Abrir</v>
      </c>
    </row>
    <row r="21" customFormat="false" ht="45.75" hidden="false" customHeight="true" outlineLevel="0" collapsed="false">
      <c r="A21" s="24" t="n">
        <f aca="false">'Dados completos'!A187</f>
        <v>184</v>
      </c>
      <c r="B21" s="25" t="str">
        <f aca="false">'Dados completos'!AL187</f>
        <v>Prioridade</v>
      </c>
      <c r="C21" s="24" t="n">
        <f aca="false">'Dados completos'!Y187</f>
        <v>3.5</v>
      </c>
      <c r="D21" s="26" t="n">
        <f aca="false">'Dados completos'!AF187</f>
        <v>92.5</v>
      </c>
      <c r="E21" s="27" t="n">
        <f aca="false">'Dados completos'!AH187</f>
        <v>0.1208</v>
      </c>
      <c r="F21" s="28" t="str">
        <f aca="false">'Dados completos'!AI187</f>
        <v>Boa</v>
      </c>
      <c r="G21" s="29" t="str">
        <f aca="false">'Dados completos'!B187</f>
        <v>EY Portugal</v>
      </c>
      <c r="H21" s="30" t="str">
        <f aca="false">'Dados completos'!C187</f>
        <v>Oportunidades de início de carreira (estágios e programas)</v>
      </c>
      <c r="I21" s="30" t="str">
        <f aca="false">'Dados completos'!E187</f>
        <v>Big 4 / consultoria</v>
      </c>
      <c r="J21" s="24" t="str">
        <f aca="false">'Dados completos'!F187</f>
        <v>Portugal</v>
      </c>
      <c r="K21" s="30" t="str">
        <f aca="false">'Dados completos'!G187</f>
        <v>Lisboa</v>
      </c>
      <c r="L21" s="30" t="str">
        <f aca="false">'Dados completos'!H187</f>
        <v>Não indicado (provável presencial)</v>
      </c>
      <c r="M21" s="30" t="str">
        <f aca="false">'Dados completos'!I187</f>
        <v>Não indicado</v>
      </c>
      <c r="N21" s="31" t="str">
        <f aca="false">'Dados completos'!O187</f>
        <v>Não indicado</v>
      </c>
      <c r="O21" s="28" t="str">
        <f aca="false">'Dados completos'!V187</f>
        <v>Média-alta</v>
      </c>
      <c r="P21" s="30" t="str">
        <f aca="false">IF('Dados completos'!R187="","n/d",IF('Dados completos'!R187='Dados completos'!S187,TEXT('Dados completos'!R187,"#,##0"),TEXT('Dados completos'!R187,"#,##0")&amp;", "&amp;TEXT('Dados completos'!S187,"#,##0")))</f>
        <v>1,100, 1,400</v>
      </c>
      <c r="Q21" s="30" t="str">
        <f aca="false">'Dados completos'!M187</f>
        <v>Inglês (ver oferta)</v>
      </c>
      <c r="R21" s="30" t="str">
        <f aca="false">'Dados completos'!AJ187</f>
        <v>Língua-chave PT (exigência 0.3); não exige experiência prévia em finanças; aceita recém-licenciadas.</v>
      </c>
      <c r="S21" s="30" t="str">
        <f aca="false">'Dados completos'!AK187</f>
        <v>Aberta (prazo não indicado)</v>
      </c>
      <c r="T21" s="24" t="str">
        <f aca="false">'Dados completos'!AP187</f>
        <v>Parcial (agregador/título)</v>
      </c>
      <c r="U21" s="30" t="str">
        <f aca="false">'Dados completos'!AO187</f>
        <v>Página de carreiras (procurar a vaga)</v>
      </c>
      <c r="V21" s="32" t="str">
        <f aca="false">HYPERLINK('Dados completos'!AN187,"Abrir")</f>
        <v>Abrir</v>
      </c>
    </row>
    <row r="22" customFormat="false" ht="45.75" hidden="false" customHeight="true" outlineLevel="0" collapsed="false">
      <c r="A22" s="24" t="n">
        <f aca="false">'Dados completos'!A163</f>
        <v>160</v>
      </c>
      <c r="B22" s="25" t="str">
        <f aca="false">'Dados completos'!AL163</f>
        <v>Reserva</v>
      </c>
      <c r="C22" s="24" t="n">
        <f aca="false">'Dados completos'!Y163</f>
        <v>2.9</v>
      </c>
      <c r="D22" s="26" t="n">
        <f aca="false">'Dados completos'!AF163</f>
        <v>92.5</v>
      </c>
      <c r="E22" s="27" t="n">
        <f aca="false">'Dados completos'!AH163</f>
        <v>0.1812</v>
      </c>
      <c r="F22" s="28" t="str">
        <f aca="false">'Dados completos'!AI163</f>
        <v>Boa</v>
      </c>
      <c r="G22" s="29" t="str">
        <f aca="false">'Dados completos'!B163</f>
        <v>Accenture</v>
      </c>
      <c r="H22" s="30" t="str">
        <f aca="false">'Dados completos'!C163</f>
        <v>Consulting Graduate Programme, January 2027 (Lisboa)</v>
      </c>
      <c r="I22" s="30" t="str">
        <f aca="false">'Dados completos'!E163</f>
        <v>Big 4 / consultoria</v>
      </c>
      <c r="J22" s="24" t="str">
        <f aca="false">'Dados completos'!F163</f>
        <v>Portugal</v>
      </c>
      <c r="K22" s="30" t="str">
        <f aca="false">'Dados completos'!G163</f>
        <v>Lisboa</v>
      </c>
      <c r="L22" s="30" t="str">
        <f aca="false">'Dados completos'!H163</f>
        <v>Não indicado (provável presencial)</v>
      </c>
      <c r="M22" s="30" t="str">
        <f aca="false">'Dados completos'!I163</f>
        <v>Jan 2027</v>
      </c>
      <c r="N22" s="31" t="str">
        <f aca="false">'Dados completos'!O163</f>
        <v>Não indicado</v>
      </c>
      <c r="O22" s="28" t="str">
        <f aca="false">'Dados completos'!V163</f>
        <v>Média</v>
      </c>
      <c r="P22" s="30" t="str">
        <f aca="false">IF('Dados completos'!R163="","n/d",IF('Dados completos'!R163='Dados completos'!S163,TEXT('Dados completos'!R163,"#,##0"),TEXT('Dados completos'!R163,"#,##0")&amp;", "&amp;TEXT('Dados completos'!S163,"#,##0")))</f>
        <v>1,000, 1,400</v>
      </c>
      <c r="Q22" s="30" t="str">
        <f aca="false">'Dados completos'!M163</f>
        <v>Inglês (ver oferta)</v>
      </c>
      <c r="R22" s="30" t="str">
        <f aca="false">'Dados completos'!AJ163</f>
        <v>Língua-chave EN (exigência 1); não exige experiência prévia em finanças; aceita recém-licenciadas.</v>
      </c>
      <c r="S22" s="30" t="str">
        <f aca="false">'Dados completos'!AK163</f>
        <v>Por confirmar</v>
      </c>
      <c r="T22" s="24" t="str">
        <f aca="false">'Dados completos'!AP163</f>
        <v>Parcial (agregador/título)</v>
      </c>
      <c r="U22" s="30" t="str">
        <f aca="false">'Dados completos'!AO163</f>
        <v>Direto (site/ATS da empresa)</v>
      </c>
      <c r="V22" s="32" t="str">
        <f aca="false">HYPERLINK('Dados completos'!AN163,"Abrir")</f>
        <v>Abrir</v>
      </c>
    </row>
    <row r="23" customFormat="false" ht="45.75" hidden="false" customHeight="true" outlineLevel="0" collapsed="false">
      <c r="A23" s="24" t="n">
        <f aca="false">'Dados completos'!A176</f>
        <v>173</v>
      </c>
      <c r="B23" s="25" t="str">
        <f aca="false">'Dados completos'!AL176</f>
        <v>Reserva</v>
      </c>
      <c r="C23" s="24" t="n">
        <f aca="false">'Dados completos'!Y176</f>
        <v>2.9</v>
      </c>
      <c r="D23" s="26" t="n">
        <f aca="false">'Dados completos'!AF176</f>
        <v>92.5</v>
      </c>
      <c r="E23" s="27" t="n">
        <f aca="false">'Dados completos'!AH176</f>
        <v>0.1812</v>
      </c>
      <c r="F23" s="28" t="str">
        <f aca="false">'Dados completos'!AI176</f>
        <v>Boa</v>
      </c>
      <c r="G23" s="29" t="str">
        <f aca="false">'Dados completos'!B176</f>
        <v>Santander Portugal</v>
      </c>
      <c r="H23" s="30" t="str">
        <f aca="false">'Dados completos'!C176</f>
        <v>Estágio, Área de Universidades (Evergreen)</v>
      </c>
      <c r="I23" s="30" t="str">
        <f aca="false">'Dados completos'!E176</f>
        <v>Banca comercial</v>
      </c>
      <c r="J23" s="24" t="str">
        <f aca="false">'Dados completos'!F176</f>
        <v>Portugal</v>
      </c>
      <c r="K23" s="30" t="str">
        <f aca="false">'Dados completos'!G176</f>
        <v>Lisboa</v>
      </c>
      <c r="L23" s="30" t="str">
        <f aca="false">'Dados completos'!H176</f>
        <v>Não indicado (provável presencial)</v>
      </c>
      <c r="M23" s="30" t="str">
        <f aca="false">'Dados completos'!I176</f>
        <v>Não indicado</v>
      </c>
      <c r="N23" s="31" t="str">
        <f aca="false">'Dados completos'!O176</f>
        <v>Não indicado</v>
      </c>
      <c r="O23" s="28" t="str">
        <f aca="false">'Dados completos'!V176</f>
        <v>Média</v>
      </c>
      <c r="P23" s="30" t="str">
        <f aca="false">IF('Dados completos'!R176="","n/d",IF('Dados completos'!R176='Dados completos'!S176,TEXT('Dados completos'!R176,"#,##0"),TEXT('Dados completos'!R176,"#,##0")&amp;", "&amp;TEXT('Dados completos'!S176,"#,##0")))</f>
        <v>1,000, 1,300</v>
      </c>
      <c r="Q23" s="30" t="str">
        <f aca="false">'Dados completos'!M176</f>
        <v>Inglês (ver oferta)</v>
      </c>
      <c r="R23" s="30" t="str">
        <f aca="false">'Dados completos'!AJ176</f>
        <v>Língua-chave PT (exigência 0.3); não exige experiência prévia em finanças; aceita recém-licenciadas.</v>
      </c>
      <c r="S23" s="30" t="str">
        <f aca="false">'Dados completos'!AK176</f>
        <v>Por confirmar</v>
      </c>
      <c r="T23" s="24" t="str">
        <f aca="false">'Dados completos'!AP176</f>
        <v>Parcial (agregador/título)</v>
      </c>
      <c r="U23" s="30" t="str">
        <f aca="false">'Dados completos'!AO176</f>
        <v>Direto (site/ATS da empresa)</v>
      </c>
      <c r="V23" s="32" t="str">
        <f aca="false">HYPERLINK('Dados completos'!AN176,"Abrir")</f>
        <v>Abrir</v>
      </c>
    </row>
    <row r="24" customFormat="false" ht="45.75" hidden="false" customHeight="true" outlineLevel="0" collapsed="false">
      <c r="A24" s="24" t="n">
        <f aca="false">'Dados completos'!A188</f>
        <v>185</v>
      </c>
      <c r="B24" s="25" t="str">
        <f aca="false">'Dados completos'!AL188</f>
        <v>Reserva</v>
      </c>
      <c r="C24" s="24" t="n">
        <f aca="false">'Dados completos'!Y188</f>
        <v>2.9</v>
      </c>
      <c r="D24" s="26" t="n">
        <f aca="false">'Dados completos'!AF188</f>
        <v>92.5</v>
      </c>
      <c r="E24" s="27" t="n">
        <f aca="false">'Dados completos'!AH188</f>
        <v>0.1812</v>
      </c>
      <c r="F24" s="28" t="str">
        <f aca="false">'Dados completos'!AI188</f>
        <v>Boa</v>
      </c>
      <c r="G24" s="29" t="str">
        <f aca="false">'Dados completos'!B188</f>
        <v>EY Portugal</v>
      </c>
      <c r="H24" s="30" t="str">
        <f aca="false">'Dados completos'!C188</f>
        <v>Estágios, Confirmation Team (Lisboa e Viseu)</v>
      </c>
      <c r="I24" s="30" t="str">
        <f aca="false">'Dados completos'!E188</f>
        <v>Big 4 / consultoria</v>
      </c>
      <c r="J24" s="24" t="str">
        <f aca="false">'Dados completos'!F188</f>
        <v>Portugal</v>
      </c>
      <c r="K24" s="30" t="str">
        <f aca="false">'Dados completos'!G188</f>
        <v>Lisboa</v>
      </c>
      <c r="L24" s="30" t="str">
        <f aca="false">'Dados completos'!H188</f>
        <v>Não indicado (provável presencial)</v>
      </c>
      <c r="M24" s="30" t="str">
        <f aca="false">'Dados completos'!I188</f>
        <v>Não indicado</v>
      </c>
      <c r="N24" s="31" t="str">
        <f aca="false">'Dados completos'!O188</f>
        <v>Não indicado</v>
      </c>
      <c r="O24" s="28" t="str">
        <f aca="false">'Dados completos'!V188</f>
        <v>Média</v>
      </c>
      <c r="P24" s="30" t="str">
        <f aca="false">IF('Dados completos'!R188="","n/d",IF('Dados completos'!R188='Dados completos'!S188,TEXT('Dados completos'!R188,"#,##0"),TEXT('Dados completos'!R188,"#,##0")&amp;", "&amp;TEXT('Dados completos'!S188,"#,##0")))</f>
        <v>1,000, 1,300</v>
      </c>
      <c r="Q24" s="30" t="str">
        <f aca="false">'Dados completos'!M188</f>
        <v>Inglês (ver oferta)</v>
      </c>
      <c r="R24" s="30" t="str">
        <f aca="false">'Dados completos'!AJ188</f>
        <v>Língua-chave PT (exigência 0.3); não exige experiência prévia em finanças; aceita recém-licenciadas.</v>
      </c>
      <c r="S24" s="30" t="str">
        <f aca="false">'Dados completos'!AK188</f>
        <v>Por confirmar</v>
      </c>
      <c r="T24" s="24" t="str">
        <f aca="false">'Dados completos'!AP188</f>
        <v>Parcial (agregador/título)</v>
      </c>
      <c r="U24" s="30" t="str">
        <f aca="false">'Dados completos'!AO188</f>
        <v>Direto (site/ATS da empresa)</v>
      </c>
      <c r="V24" s="32" t="str">
        <f aca="false">HYPERLINK('Dados completos'!AN188,"Abrir")</f>
        <v>Abrir</v>
      </c>
    </row>
    <row r="25" customFormat="false" ht="45.75" hidden="false" customHeight="true" outlineLevel="0" collapsed="false">
      <c r="A25" s="24" t="n">
        <f aca="false">'Dados completos'!A220</f>
        <v>217</v>
      </c>
      <c r="B25" s="25" t="str">
        <f aca="false">'Dados completos'!AL220</f>
        <v>Reserva</v>
      </c>
      <c r="C25" s="24" t="n">
        <f aca="false">'Dados completos'!Y220</f>
        <v>2.9</v>
      </c>
      <c r="D25" s="26" t="n">
        <f aca="false">'Dados completos'!AF220</f>
        <v>92.5</v>
      </c>
      <c r="E25" s="27" t="n">
        <f aca="false">'Dados completos'!AH220</f>
        <v>0.1812</v>
      </c>
      <c r="F25" s="28" t="str">
        <f aca="false">'Dados completos'!AI220</f>
        <v>Boa</v>
      </c>
      <c r="G25" s="29" t="str">
        <f aca="false">'Dados completos'!B220</f>
        <v>DHL</v>
      </c>
      <c r="H25" s="30" t="str">
        <f aca="false">'Dados completos'!C220</f>
        <v>Estágios locais, AIESEC e programa G100 (EMEA)</v>
      </c>
      <c r="I25" s="30" t="str">
        <f aca="false">'Dados completos'!E220</f>
        <v>Big corporate</v>
      </c>
      <c r="J25" s="24" t="str">
        <f aca="false">'Dados completos'!F220</f>
        <v>Portugal</v>
      </c>
      <c r="K25" s="30" t="str">
        <f aca="false">'Dados completos'!G220</f>
        <v>Lisboa</v>
      </c>
      <c r="L25" s="30" t="str">
        <f aca="false">'Dados completos'!H220</f>
        <v>Não indicado (provável presencial)</v>
      </c>
      <c r="M25" s="30" t="str">
        <f aca="false">'Dados completos'!I220</f>
        <v>Não indicado</v>
      </c>
      <c r="N25" s="31" t="str">
        <f aca="false">'Dados completos'!O220</f>
        <v>Não indicado</v>
      </c>
      <c r="O25" s="28" t="str">
        <f aca="false">'Dados completos'!V220</f>
        <v>Média</v>
      </c>
      <c r="P25" s="30" t="str">
        <f aca="false">IF('Dados completos'!R220="","n/d",IF('Dados completos'!R220='Dados completos'!S220,TEXT('Dados completos'!R220,"#,##0"),TEXT('Dados completos'!R220,"#,##0")&amp;", "&amp;TEXT('Dados completos'!S220,"#,##0")))</f>
        <v>1,000, 1,400</v>
      </c>
      <c r="Q25" s="30" t="str">
        <f aca="false">'Dados completos'!M220</f>
        <v>Inglês (ver oferta)</v>
      </c>
      <c r="R25" s="30" t="str">
        <f aca="false">'Dados completos'!AJ220</f>
        <v>Língua-chave PT (exigência 0.3); não exige experiência prévia em finanças; aceita recém-licenciadas.</v>
      </c>
      <c r="S25" s="30" t="str">
        <f aca="false">'Dados completos'!AK220</f>
        <v>Por confirmar</v>
      </c>
      <c r="T25" s="24" t="str">
        <f aca="false">'Dados completos'!AP220</f>
        <v>Parcial (agregador/título)</v>
      </c>
      <c r="U25" s="30" t="str">
        <f aca="false">'Dados completos'!AO220</f>
        <v>Página de carreiras (procurar a vaga)</v>
      </c>
      <c r="V25" s="32" t="str">
        <f aca="false">HYPERLINK('Dados completos'!AN220,"Abrir")</f>
        <v>Abrir</v>
      </c>
    </row>
    <row r="26" customFormat="false" ht="45.75" hidden="false" customHeight="true" outlineLevel="0" collapsed="false">
      <c r="A26" s="24" t="n">
        <f aca="false">'Dados completos'!A193</f>
        <v>190</v>
      </c>
      <c r="B26" s="25" t="str">
        <f aca="false">'Dados completos'!AL193</f>
        <v>Candidatar (reach)</v>
      </c>
      <c r="C26" s="24" t="n">
        <f aca="false">'Dados completos'!Y193</f>
        <v>3.1</v>
      </c>
      <c r="D26" s="26" t="n">
        <f aca="false">'Dados completos'!AF193</f>
        <v>72.6</v>
      </c>
      <c r="E26" s="27" t="n">
        <f aca="false">'Dados completos'!AH193</f>
        <v>0.101696</v>
      </c>
      <c r="F26" s="28" t="str">
        <f aca="false">'Dados completos'!AI193</f>
        <v>Boa</v>
      </c>
      <c r="G26" s="29" t="str">
        <f aca="false">'Dados completos'!B193</f>
        <v>Euronext</v>
      </c>
      <c r="H26" s="30" t="str">
        <f aca="false">'Dados completos'!C193</f>
        <v>Outsourcing Analyst (VIE, Porto)</v>
      </c>
      <c r="I26" s="30" t="str">
        <f aca="false">'Dados completos'!E193</f>
        <v>Serviços financeiros</v>
      </c>
      <c r="J26" s="24" t="str">
        <f aca="false">'Dados completos'!F193</f>
        <v>Portugal</v>
      </c>
      <c r="K26" s="30" t="str">
        <f aca="false">'Dados completos'!G193</f>
        <v>Porto</v>
      </c>
      <c r="L26" s="30" t="str">
        <f aca="false">'Dados completos'!H193</f>
        <v>Não indicado (provável presencial)</v>
      </c>
      <c r="M26" s="30" t="str">
        <f aca="false">'Dados completos'!I193</f>
        <v>Não indicado</v>
      </c>
      <c r="N26" s="31" t="str">
        <f aca="false">'Dados completos'!O193</f>
        <v>Não indicado</v>
      </c>
      <c r="O26" s="28" t="str">
        <f aca="false">'Dados completos'!V193</f>
        <v>Média-alta</v>
      </c>
      <c r="P26" s="30" t="str">
        <f aca="false">IF('Dados completos'!R193="","n/d",IF('Dados completos'!R193='Dados completos'!S193,TEXT('Dados completos'!R193,"#,##0"),TEXT('Dados completos'!R193,"#,##0")&amp;", "&amp;TEXT('Dados completos'!S193,"#,##0")))</f>
        <v>1,300, 1,800</v>
      </c>
      <c r="Q26" s="30" t="str">
        <f aca="false">'Dados completos'!M193</f>
        <v>Inglês (ver oferta)</v>
      </c>
      <c r="R26" s="30" t="str">
        <f aca="false">'Dados completos'!AJ193</f>
        <v>Língua-chave FR (exigência 0.4); não exige experiência prévia em finanças; aceita recém-licenciadas.</v>
      </c>
      <c r="S26" s="30" t="str">
        <f aca="false">'Dados completos'!AK193</f>
        <v>Por confirmar</v>
      </c>
      <c r="T26" s="24" t="str">
        <f aca="false">'Dados completos'!AP193</f>
        <v>Parcial (agregador/título)</v>
      </c>
      <c r="U26" s="30" t="str">
        <f aca="false">'Dados completos'!AO193</f>
        <v>Anúncio em plataforma</v>
      </c>
      <c r="V26" s="32" t="str">
        <f aca="false">HYPERLINK('Dados completos'!AN193,"Abrir")</f>
        <v>Abrir</v>
      </c>
    </row>
    <row r="27" customFormat="false" ht="45.75" hidden="false" customHeight="true" outlineLevel="0" collapsed="false">
      <c r="A27" s="24" t="n">
        <f aca="false">'Dados completos'!A198</f>
        <v>195</v>
      </c>
      <c r="B27" s="25" t="str">
        <f aca="false">'Dados completos'!AL198</f>
        <v>Reserva</v>
      </c>
      <c r="C27" s="24" t="n">
        <f aca="false">'Dados completos'!Y198</f>
        <v>2.7</v>
      </c>
      <c r="D27" s="26" t="n">
        <f aca="false">'Dados completos'!AF198</f>
        <v>88.3</v>
      </c>
      <c r="E27" s="27" t="n">
        <f aca="false">'Dados completos'!AH198</f>
        <v>0.175152</v>
      </c>
      <c r="F27" s="28" t="str">
        <f aca="false">'Dados completos'!AI198</f>
        <v>Boa</v>
      </c>
      <c r="G27" s="29" t="str">
        <f aca="false">'Dados completos'!B198</f>
        <v>Empresa por confirmar</v>
      </c>
      <c r="H27" s="30" t="str">
        <f aca="false">'Dados completos'!C198</f>
        <v>AML Analyst, Academy Program (Lisboa)</v>
      </c>
      <c r="I27" s="30" t="str">
        <f aca="false">'Dados completos'!E198</f>
        <v>Serviços financeiros</v>
      </c>
      <c r="J27" s="24" t="str">
        <f aca="false">'Dados completos'!F198</f>
        <v>Portugal</v>
      </c>
      <c r="K27" s="30" t="str">
        <f aca="false">'Dados completos'!G198</f>
        <v>Lisboa</v>
      </c>
      <c r="L27" s="30" t="str">
        <f aca="false">'Dados completos'!H198</f>
        <v>Não indicado (provável presencial)</v>
      </c>
      <c r="M27" s="30" t="str">
        <f aca="false">'Dados completos'!I198</f>
        <v>Não indicado</v>
      </c>
      <c r="N27" s="31" t="str">
        <f aca="false">'Dados completos'!O198</f>
        <v>Não indicado</v>
      </c>
      <c r="O27" s="28" t="str">
        <f aca="false">'Dados completos'!V198</f>
        <v>Média</v>
      </c>
      <c r="P27" s="30" t="str">
        <f aca="false">IF('Dados completos'!R198="","n/d",IF('Dados completos'!R198='Dados completos'!S198,TEXT('Dados completos'!R198,"#,##0"),TEXT('Dados completos'!R198,"#,##0")&amp;", "&amp;TEXT('Dados completos'!S198,"#,##0")))</f>
        <v>1,000, 1,400</v>
      </c>
      <c r="Q27" s="30" t="str">
        <f aca="false">'Dados completos'!M198</f>
        <v>Inglês (ver oferta)</v>
      </c>
      <c r="R27" s="30" t="str">
        <f aca="false">'Dados completos'!AJ198</f>
        <v>Língua-chave EN (exigência 0.8); não exige experiência prévia em finanças; aceita recém-licenciadas.</v>
      </c>
      <c r="S27" s="30" t="str">
        <f aca="false">'Dados completos'!AK198</f>
        <v>Por confirmar</v>
      </c>
      <c r="T27" s="24" t="str">
        <f aca="false">'Dados completos'!AP198</f>
        <v>Parcial (agregador/título)</v>
      </c>
      <c r="U27" s="30" t="str">
        <f aca="false">'Dados completos'!AO198</f>
        <v>Anúncio em plataforma</v>
      </c>
      <c r="V27" s="32" t="str">
        <f aca="false">HYPERLINK('Dados completos'!AN198,"Abrir")</f>
        <v>Abrir</v>
      </c>
    </row>
    <row r="28" customFormat="false" ht="45.75" hidden="false" customHeight="true" outlineLevel="0" collapsed="false">
      <c r="A28" s="24" t="n">
        <f aca="false">'Dados completos'!A199</f>
        <v>196</v>
      </c>
      <c r="B28" s="25" t="str">
        <f aca="false">'Dados completos'!AL199</f>
        <v>Reserva</v>
      </c>
      <c r="C28" s="24" t="n">
        <f aca="false">'Dados completos'!Y199</f>
        <v>2.7</v>
      </c>
      <c r="D28" s="26" t="n">
        <f aca="false">'Dados completos'!AF199</f>
        <v>88.3</v>
      </c>
      <c r="E28" s="27" t="n">
        <f aca="false">'Dados completos'!AH199</f>
        <v>0.175152</v>
      </c>
      <c r="F28" s="28" t="str">
        <f aca="false">'Dados completos'!AI199</f>
        <v>Boa</v>
      </c>
      <c r="G28" s="29" t="str">
        <f aca="false">'Dados completos'!B199</f>
        <v>Empresa por confirmar</v>
      </c>
      <c r="H28" s="30" t="str">
        <f aca="false">'Dados completos'!C199</f>
        <v>Business Continuity Analyst Trainee (Lisboa)</v>
      </c>
      <c r="I28" s="30" t="str">
        <f aca="false">'Dados completos'!E199</f>
        <v>Serviços financeiros</v>
      </c>
      <c r="J28" s="24" t="str">
        <f aca="false">'Dados completos'!F199</f>
        <v>Portugal</v>
      </c>
      <c r="K28" s="30" t="str">
        <f aca="false">'Dados completos'!G199</f>
        <v>Lisboa</v>
      </c>
      <c r="L28" s="30" t="str">
        <f aca="false">'Dados completos'!H199</f>
        <v>Não indicado (provável presencial)</v>
      </c>
      <c r="M28" s="30" t="str">
        <f aca="false">'Dados completos'!I199</f>
        <v>Não indicado</v>
      </c>
      <c r="N28" s="31" t="str">
        <f aca="false">'Dados completos'!O199</f>
        <v>Não indicado</v>
      </c>
      <c r="O28" s="28" t="str">
        <f aca="false">'Dados completos'!V199</f>
        <v>Média</v>
      </c>
      <c r="P28" s="30" t="str">
        <f aca="false">IF('Dados completos'!R199="","n/d",IF('Dados completos'!R199='Dados completos'!S199,TEXT('Dados completos'!R199,"#,##0"),TEXT('Dados completos'!R199,"#,##0")&amp;", "&amp;TEXT('Dados completos'!S199,"#,##0")))</f>
        <v>1,000, 1,400</v>
      </c>
      <c r="Q28" s="30" t="str">
        <f aca="false">'Dados completos'!M199</f>
        <v>Inglês (ver oferta)</v>
      </c>
      <c r="R28" s="30" t="str">
        <f aca="false">'Dados completos'!AJ199</f>
        <v>Língua-chave EN (exigência 0.8); não exige experiência prévia em finanças; aceita recém-licenciadas.</v>
      </c>
      <c r="S28" s="30" t="str">
        <f aca="false">'Dados completos'!AK199</f>
        <v>Por confirmar</v>
      </c>
      <c r="T28" s="24" t="str">
        <f aca="false">'Dados completos'!AP199</f>
        <v>Parcial (agregador/título)</v>
      </c>
      <c r="U28" s="30" t="str">
        <f aca="false">'Dados completos'!AO199</f>
        <v>Anúncio em plataforma</v>
      </c>
      <c r="V28" s="32" t="str">
        <f aca="false">HYPERLINK('Dados completos'!AN199,"Abrir")</f>
        <v>Abrir</v>
      </c>
    </row>
    <row r="29" customFormat="false" ht="45.75" hidden="false" customHeight="true" outlineLevel="0" collapsed="false">
      <c r="A29" s="24" t="n">
        <f aca="false">'Dados completos'!A200</f>
        <v>197</v>
      </c>
      <c r="B29" s="25" t="str">
        <f aca="false">'Dados completos'!AL200</f>
        <v>Reserva</v>
      </c>
      <c r="C29" s="24" t="n">
        <f aca="false">'Dados completos'!Y200</f>
        <v>2.7</v>
      </c>
      <c r="D29" s="26" t="n">
        <f aca="false">'Dados completos'!AF200</f>
        <v>88.3</v>
      </c>
      <c r="E29" s="27" t="n">
        <f aca="false">'Dados completos'!AH200</f>
        <v>0.175152</v>
      </c>
      <c r="F29" s="28" t="str">
        <f aca="false">'Dados completos'!AI200</f>
        <v>Boa</v>
      </c>
      <c r="G29" s="29" t="str">
        <f aca="false">'Dados completos'!B200</f>
        <v>Empresa por confirmar</v>
      </c>
      <c r="H29" s="30" t="str">
        <f aca="false">'Dados completos'!C200</f>
        <v>Data Quality Trainee (Lisboa)</v>
      </c>
      <c r="I29" s="30" t="str">
        <f aca="false">'Dados completos'!E200</f>
        <v>Serviços financeiros</v>
      </c>
      <c r="J29" s="24" t="str">
        <f aca="false">'Dados completos'!F200</f>
        <v>Portugal</v>
      </c>
      <c r="K29" s="30" t="str">
        <f aca="false">'Dados completos'!G200</f>
        <v>Lisboa</v>
      </c>
      <c r="L29" s="30" t="str">
        <f aca="false">'Dados completos'!H200</f>
        <v>Não indicado (provável presencial)</v>
      </c>
      <c r="M29" s="30" t="str">
        <f aca="false">'Dados completos'!I200</f>
        <v>Não indicado</v>
      </c>
      <c r="N29" s="31" t="str">
        <f aca="false">'Dados completos'!O200</f>
        <v>Não indicado</v>
      </c>
      <c r="O29" s="28" t="str">
        <f aca="false">'Dados completos'!V200</f>
        <v>Média</v>
      </c>
      <c r="P29" s="30" t="str">
        <f aca="false">IF('Dados completos'!R200="","n/d",IF('Dados completos'!R200='Dados completos'!S200,TEXT('Dados completos'!R200,"#,##0"),TEXT('Dados completos'!R200,"#,##0")&amp;", "&amp;TEXT('Dados completos'!S200,"#,##0")))</f>
        <v>1,000, 1,400</v>
      </c>
      <c r="Q29" s="30" t="str">
        <f aca="false">'Dados completos'!M200</f>
        <v>Inglês (ver oferta)</v>
      </c>
      <c r="R29" s="30" t="str">
        <f aca="false">'Dados completos'!AJ200</f>
        <v>Língua-chave EN (exigência 0.8); não exige experiência prévia em finanças; aceita recém-licenciadas.</v>
      </c>
      <c r="S29" s="30" t="str">
        <f aca="false">'Dados completos'!AK200</f>
        <v>Por confirmar</v>
      </c>
      <c r="T29" s="24" t="str">
        <f aca="false">'Dados completos'!AP200</f>
        <v>Parcial (agregador/título)</v>
      </c>
      <c r="U29" s="30" t="str">
        <f aca="false">'Dados completos'!AO200</f>
        <v>Anúncio em plataforma</v>
      </c>
      <c r="V29" s="32" t="str">
        <f aca="false">HYPERLINK('Dados completos'!AN200,"Abrir")</f>
        <v>Abrir</v>
      </c>
    </row>
    <row r="30" customFormat="false" ht="45.75" hidden="false" customHeight="true" outlineLevel="0" collapsed="false">
      <c r="A30" s="24" t="n">
        <f aca="false">'Dados completos'!A39</f>
        <v>36</v>
      </c>
      <c r="B30" s="25" t="str">
        <f aca="false">'Dados completos'!AL39</f>
        <v>Reserva</v>
      </c>
      <c r="C30" s="24" t="n">
        <f aca="false">'Dados completos'!Y39</f>
        <v>2.8</v>
      </c>
      <c r="D30" s="26" t="n">
        <f aca="false">'Dados completos'!AF39</f>
        <v>88</v>
      </c>
      <c r="E30" s="27" t="n">
        <f aca="false">'Dados completos'!AH39</f>
        <v>0.17472</v>
      </c>
      <c r="F30" s="28" t="str">
        <f aca="false">'Dados completos'!AI39</f>
        <v>Boa</v>
      </c>
      <c r="G30" s="29" t="str">
        <f aca="false">'Dados completos'!B39</f>
        <v>Banco Santander Totta</v>
      </c>
      <c r="H30" s="30" t="str">
        <f aca="false">'Dados completos'!C39</f>
        <v>Estágio, Área de Fomento à Construção (Lisboa)</v>
      </c>
      <c r="I30" s="30" t="str">
        <f aca="false">'Dados completos'!E39</f>
        <v>Banca comercial</v>
      </c>
      <c r="J30" s="24" t="str">
        <f aca="false">'Dados completos'!F39</f>
        <v>Portugal</v>
      </c>
      <c r="K30" s="30" t="str">
        <f aca="false">'Dados completos'!G39</f>
        <v>Lisboa</v>
      </c>
      <c r="L30" s="30" t="str">
        <f aca="false">'Dados completos'!H39</f>
        <v>Não indicado (provável presencial)</v>
      </c>
      <c r="M30" s="30" t="str">
        <f aca="false">'Dados completos'!I39</f>
        <v>Não indicado</v>
      </c>
      <c r="N30" s="31" t="str">
        <f aca="false">'Dados completos'!O39</f>
        <v>Não indicado</v>
      </c>
      <c r="O30" s="28" t="str">
        <f aca="false">'Dados completos'!V39</f>
        <v>Média</v>
      </c>
      <c r="P30" s="30" t="str">
        <f aca="false">IF('Dados completos'!R39="","n/d",IF('Dados completos'!R39='Dados completos'!S39,TEXT('Dados completos'!R39,"#,##0"),TEXT('Dados completos'!R39,"#,##0")&amp;", "&amp;TEXT('Dados completos'!S39,"#,##0")))</f>
        <v>1,000, 1,300</v>
      </c>
      <c r="Q30" s="30" t="str">
        <f aca="false">'Dados completos'!M39</f>
        <v>Português</v>
      </c>
      <c r="R30" s="30" t="str">
        <f aca="false">'Dados completos'!AJ39</f>
        <v>Língua-chave PT (exigência 1); não exige experiência prévia em finanças; aceita recém-licenciadas.</v>
      </c>
      <c r="S30" s="30" t="str">
        <f aca="false">'Dados completos'!AK39</f>
        <v>Por confirmar</v>
      </c>
      <c r="T30" s="24" t="str">
        <f aca="false">'Dados completos'!AP39</f>
        <v>Parcial (agregador/título)</v>
      </c>
      <c r="U30" s="30" t="str">
        <f aca="false">'Dados completos'!AO39</f>
        <v>Página de carreiras (procurar a vaga)</v>
      </c>
      <c r="V30" s="32" t="str">
        <f aca="false">HYPERLINK('Dados completos'!AN39,"Abrir")</f>
        <v>Abrir</v>
      </c>
    </row>
    <row r="31" customFormat="false" ht="45.75" hidden="false" customHeight="true" outlineLevel="0" collapsed="false">
      <c r="A31" s="24" t="n">
        <f aca="false">'Dados completos'!A196</f>
        <v>193</v>
      </c>
      <c r="B31" s="25" t="str">
        <f aca="false">'Dados completos'!AL196</f>
        <v>Candidatar (reach)</v>
      </c>
      <c r="C31" s="24" t="n">
        <f aca="false">'Dados completos'!Y196</f>
        <v>3.3</v>
      </c>
      <c r="D31" s="26" t="n">
        <f aca="false">'Dados completos'!AF196</f>
        <v>87.55</v>
      </c>
      <c r="E31" s="27" t="n">
        <f aca="false">'Dados completos'!AH196</f>
        <v>0.116048</v>
      </c>
      <c r="F31" s="28" t="str">
        <f aca="false">'Dados completos'!AI196</f>
        <v>Boa</v>
      </c>
      <c r="G31" s="29" t="str">
        <f aca="false">'Dados completos'!B196</f>
        <v>Empresa por confirmar</v>
      </c>
      <c r="H31" s="30" t="str">
        <f aca="false">'Dados completos'!C196</f>
        <v>Data Analyst Trainee (Lisboa)</v>
      </c>
      <c r="I31" s="30" t="str">
        <f aca="false">'Dados completos'!E196</f>
        <v>Serviços financeiros</v>
      </c>
      <c r="J31" s="24" t="str">
        <f aca="false">'Dados completos'!F196</f>
        <v>Portugal</v>
      </c>
      <c r="K31" s="30" t="str">
        <f aca="false">'Dados completos'!G196</f>
        <v>Lisboa</v>
      </c>
      <c r="L31" s="30" t="str">
        <f aca="false">'Dados completos'!H196</f>
        <v>Não indicado (provável presencial)</v>
      </c>
      <c r="M31" s="30" t="str">
        <f aca="false">'Dados completos'!I196</f>
        <v>Não indicado</v>
      </c>
      <c r="N31" s="31" t="str">
        <f aca="false">'Dados completos'!O196</f>
        <v>Não indicado</v>
      </c>
      <c r="O31" s="28" t="str">
        <f aca="false">'Dados completos'!V196</f>
        <v>Média-alta</v>
      </c>
      <c r="P31" s="30" t="str">
        <f aca="false">IF('Dados completos'!R196="","n/d",IF('Dados completos'!R196='Dados completos'!S196,TEXT('Dados completos'!R196,"#,##0"),TEXT('Dados completos'!R196,"#,##0")&amp;", "&amp;TEXT('Dados completos'!S196,"#,##0")))</f>
        <v>1,100, 1,500</v>
      </c>
      <c r="Q31" s="30" t="str">
        <f aca="false">'Dados completos'!M196</f>
        <v>Inglês (ver oferta)</v>
      </c>
      <c r="R31" s="30" t="str">
        <f aca="false">'Dados completos'!AJ196</f>
        <v>Língua-chave EN (exigência 0.8); não exige experiência prévia em finanças; aceita recém-licenciadas.</v>
      </c>
      <c r="S31" s="30" t="str">
        <f aca="false">'Dados completos'!AK196</f>
        <v>Por confirmar</v>
      </c>
      <c r="T31" s="24" t="str">
        <f aca="false">'Dados completos'!AP196</f>
        <v>Parcial (agregador/título)</v>
      </c>
      <c r="U31" s="30" t="str">
        <f aca="false">'Dados completos'!AO196</f>
        <v>Anúncio em plataforma</v>
      </c>
      <c r="V31" s="32" t="str">
        <f aca="false">HYPERLINK('Dados completos'!AN196,"Abrir")</f>
        <v>Abrir</v>
      </c>
    </row>
    <row r="32" customFormat="false" ht="45.75" hidden="false" customHeight="true" outlineLevel="0" collapsed="false">
      <c r="A32" s="24" t="n">
        <f aca="false">'Dados completos'!A189</f>
        <v>186</v>
      </c>
      <c r="B32" s="25" t="str">
        <f aca="false">'Dados completos'!AL189</f>
        <v>Candidatar (reach)</v>
      </c>
      <c r="C32" s="24" t="n">
        <f aca="false">'Dados completos'!Y189</f>
        <v>3.2</v>
      </c>
      <c r="D32" s="26" t="n">
        <f aca="false">'Dados completos'!AF189</f>
        <v>85.3</v>
      </c>
      <c r="E32" s="27" t="n">
        <f aca="false">'Dados completos'!AH189</f>
        <v>0.113888</v>
      </c>
      <c r="F32" s="28" t="str">
        <f aca="false">'Dados completos'!AI189</f>
        <v>Boa</v>
      </c>
      <c r="G32" s="29" t="str">
        <f aca="false">'Dados completos'!B189</f>
        <v>Marsh</v>
      </c>
      <c r="H32" s="30" t="str">
        <f aca="false">'Dados completos'!C189</f>
        <v>Junior Analyst (estágio de 6 meses, Lisboa)</v>
      </c>
      <c r="I32" s="30" t="str">
        <f aca="false">'Dados completos'!E189</f>
        <v>Big 4 / consultoria</v>
      </c>
      <c r="J32" s="24" t="str">
        <f aca="false">'Dados completos'!F189</f>
        <v>Portugal</v>
      </c>
      <c r="K32" s="30" t="str">
        <f aca="false">'Dados completos'!G189</f>
        <v>Lisboa</v>
      </c>
      <c r="L32" s="30" t="str">
        <f aca="false">'Dados completos'!H189</f>
        <v>Não indicado (provável presencial)</v>
      </c>
      <c r="M32" s="30" t="str">
        <f aca="false">'Dados completos'!I189</f>
        <v>Não indicado</v>
      </c>
      <c r="N32" s="31" t="str">
        <f aca="false">'Dados completos'!O189</f>
        <v>Não indicado</v>
      </c>
      <c r="O32" s="28" t="str">
        <f aca="false">'Dados completos'!V189</f>
        <v>Média-alta</v>
      </c>
      <c r="P32" s="30" t="str">
        <f aca="false">IF('Dados completos'!R189="","n/d",IF('Dados completos'!R189='Dados completos'!S189,TEXT('Dados completos'!R189,"#,##0"),TEXT('Dados completos'!R189,"#,##0")&amp;", "&amp;TEXT('Dados completos'!S189,"#,##0")))</f>
        <v>1,000, 1,400</v>
      </c>
      <c r="Q32" s="30" t="str">
        <f aca="false">'Dados completos'!M189</f>
        <v>Inglês (ver oferta)</v>
      </c>
      <c r="R32" s="30" t="str">
        <f aca="false">'Dados completos'!AJ189</f>
        <v>Língua-chave EN (exigência 0.8); não exige experiência prévia em finanças; aceita recém-licenciadas.</v>
      </c>
      <c r="S32" s="30" t="str">
        <f aca="false">'Dados completos'!AK189</f>
        <v>Por confirmar</v>
      </c>
      <c r="T32" s="24" t="str">
        <f aca="false">'Dados completos'!AP189</f>
        <v>Parcial (agregador/título)</v>
      </c>
      <c r="U32" s="30" t="str">
        <f aca="false">'Dados completos'!AO189</f>
        <v>Anúncio em plataforma</v>
      </c>
      <c r="V32" s="32" t="str">
        <f aca="false">HYPERLINK('Dados completos'!AN189,"Abrir")</f>
        <v>Abrir</v>
      </c>
    </row>
    <row r="33" customFormat="false" ht="45.75" hidden="false" customHeight="true" outlineLevel="0" collapsed="false">
      <c r="A33" s="24" t="n">
        <f aca="false">'Dados completos'!A190</f>
        <v>187</v>
      </c>
      <c r="B33" s="25" t="str">
        <f aca="false">'Dados completos'!AL190</f>
        <v>Candidatar (reach)</v>
      </c>
      <c r="C33" s="24" t="n">
        <f aca="false">'Dados completos'!Y190</f>
        <v>3.2</v>
      </c>
      <c r="D33" s="26" t="n">
        <f aca="false">'Dados completos'!AF190</f>
        <v>85.15</v>
      </c>
      <c r="E33" s="27" t="n">
        <f aca="false">'Dados completos'!AH190</f>
        <v>0.113744</v>
      </c>
      <c r="F33" s="28" t="str">
        <f aca="false">'Dados completos'!AI190</f>
        <v>Boa</v>
      </c>
      <c r="G33" s="29" t="str">
        <f aca="false">'Dados completos'!B190</f>
        <v>Marsh</v>
      </c>
      <c r="H33" s="30" t="str">
        <f aca="false">'Dados completos'!C190</f>
        <v>Insured Consulting Analyst, Ireland (estágio, Lisboa)</v>
      </c>
      <c r="I33" s="30" t="str">
        <f aca="false">'Dados completos'!E190</f>
        <v>Big 4 / consultoria</v>
      </c>
      <c r="J33" s="24" t="str">
        <f aca="false">'Dados completos'!F190</f>
        <v>Portugal</v>
      </c>
      <c r="K33" s="30" t="str">
        <f aca="false">'Dados completos'!G190</f>
        <v>Lisboa</v>
      </c>
      <c r="L33" s="30" t="str">
        <f aca="false">'Dados completos'!H190</f>
        <v>Não indicado (provável presencial)</v>
      </c>
      <c r="M33" s="30" t="str">
        <f aca="false">'Dados completos'!I190</f>
        <v>Não indicado</v>
      </c>
      <c r="N33" s="31" t="str">
        <f aca="false">'Dados completos'!O190</f>
        <v>Não indicado</v>
      </c>
      <c r="O33" s="28" t="str">
        <f aca="false">'Dados completos'!V190</f>
        <v>Média-alta</v>
      </c>
      <c r="P33" s="30" t="str">
        <f aca="false">IF('Dados completos'!R190="","n/d",IF('Dados completos'!R190='Dados completos'!S190,TEXT('Dados completos'!R190,"#,##0"),TEXT('Dados completos'!R190,"#,##0")&amp;", "&amp;TEXT('Dados completos'!S190,"#,##0")))</f>
        <v>1,000, 1,400</v>
      </c>
      <c r="Q33" s="30" t="str">
        <f aca="false">'Dados completos'!M190</f>
        <v>Inglês (ver oferta)</v>
      </c>
      <c r="R33" s="30" t="str">
        <f aca="false">'Dados completos'!AJ190</f>
        <v>Língua-chave EN (exigência 0.9); não exige experiência prévia em finanças; aceita recém-licenciadas.</v>
      </c>
      <c r="S33" s="30" t="str">
        <f aca="false">'Dados completos'!AK190</f>
        <v>Por confirmar</v>
      </c>
      <c r="T33" s="24" t="str">
        <f aca="false">'Dados completos'!AP190</f>
        <v>Parcial (agregador/título)</v>
      </c>
      <c r="U33" s="30" t="str">
        <f aca="false">'Dados completos'!AO190</f>
        <v>Anúncio em plataforma</v>
      </c>
      <c r="V33" s="32" t="str">
        <f aca="false">HYPERLINK('Dados completos'!AN190,"Abrir")</f>
        <v>Abrir</v>
      </c>
    </row>
    <row r="34" customFormat="false" ht="45.75" hidden="false" customHeight="true" outlineLevel="0" collapsed="false">
      <c r="A34" s="24" t="n">
        <f aca="false">'Dados completos'!A203</f>
        <v>200</v>
      </c>
      <c r="B34" s="25" t="str">
        <f aca="false">'Dados completos'!AL203</f>
        <v>Candidatar (reach)</v>
      </c>
      <c r="C34" s="24" t="n">
        <f aca="false">'Dados completos'!Y203</f>
        <v>3</v>
      </c>
      <c r="D34" s="26" t="n">
        <f aca="false">'Dados completos'!AF203</f>
        <v>77.75</v>
      </c>
      <c r="E34" s="27" t="n">
        <f aca="false">'Dados completos'!AH203</f>
        <v>0.10664</v>
      </c>
      <c r="F34" s="28" t="str">
        <f aca="false">'Dados completos'!AI203</f>
        <v>Boa</v>
      </c>
      <c r="G34" s="29" t="str">
        <f aca="false">'Dados completos'!B203</f>
        <v>UNICRE</v>
      </c>
      <c r="H34" s="30" t="str">
        <f aca="false">'Dados completos'!C203</f>
        <v>Unlocker Junior Controller (Planeamento e Controlo de Gestão)</v>
      </c>
      <c r="I34" s="30" t="str">
        <f aca="false">'Dados completos'!E203</f>
        <v>Serviços financeiros</v>
      </c>
      <c r="J34" s="24" t="str">
        <f aca="false">'Dados completos'!F203</f>
        <v>Portugal</v>
      </c>
      <c r="K34" s="30" t="str">
        <f aca="false">'Dados completos'!G203</f>
        <v>Lisboa</v>
      </c>
      <c r="L34" s="30" t="str">
        <f aca="false">'Dados completos'!H203</f>
        <v>Não indicado (provável presencial)</v>
      </c>
      <c r="M34" s="30" t="str">
        <f aca="false">'Dados completos'!I203</f>
        <v>Não indicado</v>
      </c>
      <c r="N34" s="31" t="n">
        <f aca="false">'Dados completos'!O203</f>
        <v>46314</v>
      </c>
      <c r="O34" s="28" t="str">
        <f aca="false">'Dados completos'!V203</f>
        <v>Média-alta</v>
      </c>
      <c r="P34" s="30" t="str">
        <f aca="false">IF('Dados completos'!R203="","n/d",IF('Dados completos'!R203='Dados completos'!S203,TEXT('Dados completos'!R203,"#,##0"),TEXT('Dados completos'!R203,"#,##0")&amp;", "&amp;TEXT('Dados completos'!S203,"#,##0")))</f>
        <v>1,200, 1,600</v>
      </c>
      <c r="Q34" s="30" t="str">
        <f aca="false">'Dados completos'!M203</f>
        <v>Português e inglês</v>
      </c>
      <c r="R34" s="30" t="str">
        <f aca="false">'Dados completos'!AJ203</f>
        <v>Língua-chave PT (exigência 0.3); experiência prévia em finanças valorizada, CV tem pouca.</v>
      </c>
      <c r="S34" s="30" t="str">
        <f aca="false">'Dados completos'!AK203</f>
        <v>Aberta, prazo definido</v>
      </c>
      <c r="T34" s="24" t="str">
        <f aca="false">'Dados completos'!AP203</f>
        <v>Verificada na página</v>
      </c>
      <c r="U34" s="30" t="str">
        <f aca="false">'Dados completos'!AO203</f>
        <v>Anúncio em plataforma</v>
      </c>
      <c r="V34" s="32" t="str">
        <f aca="false">HYPERLINK('Dados completos'!AN203,"Abrir")</f>
        <v>Abrir</v>
      </c>
    </row>
    <row r="35" customFormat="false" ht="45.75" hidden="false" customHeight="true" outlineLevel="0" collapsed="false">
      <c r="A35" s="24" t="n">
        <f aca="false">'Dados completos'!A194</f>
        <v>191</v>
      </c>
      <c r="B35" s="25" t="str">
        <f aca="false">'Dados completos'!AL194</f>
        <v>Reserva</v>
      </c>
      <c r="C35" s="24" t="n">
        <f aca="false">'Dados completos'!Y194</f>
        <v>2.8</v>
      </c>
      <c r="D35" s="26" t="n">
        <f aca="false">'Dados completos'!AF194</f>
        <v>72.6</v>
      </c>
      <c r="E35" s="27" t="n">
        <f aca="false">'Dados completos'!AH194</f>
        <v>0.101696</v>
      </c>
      <c r="F35" s="28" t="str">
        <f aca="false">'Dados completos'!AI194</f>
        <v>Boa</v>
      </c>
      <c r="G35" s="29" t="str">
        <f aca="false">'Dados completos'!B194</f>
        <v>Empresa por confirmar (VIE)</v>
      </c>
      <c r="H35" s="30" t="str">
        <f aca="false">'Dados completos'!C194</f>
        <v>ESG Data Analyst (VIE, Lisboa)</v>
      </c>
      <c r="I35" s="30" t="str">
        <f aca="false">'Dados completos'!E194</f>
        <v>Serviços financeiros</v>
      </c>
      <c r="J35" s="24" t="str">
        <f aca="false">'Dados completos'!F194</f>
        <v>Portugal</v>
      </c>
      <c r="K35" s="30" t="str">
        <f aca="false">'Dados completos'!G194</f>
        <v>Lisboa</v>
      </c>
      <c r="L35" s="30" t="str">
        <f aca="false">'Dados completos'!H194</f>
        <v>Não indicado (provável presencial)</v>
      </c>
      <c r="M35" s="30" t="str">
        <f aca="false">'Dados completos'!I194</f>
        <v>Não indicado</v>
      </c>
      <c r="N35" s="31" t="str">
        <f aca="false">'Dados completos'!O194</f>
        <v>Não indicado</v>
      </c>
      <c r="O35" s="28" t="str">
        <f aca="false">'Dados completos'!V194</f>
        <v>Média-alta</v>
      </c>
      <c r="P35" s="30" t="str">
        <f aca="false">IF('Dados completos'!R194="","n/d",IF('Dados completos'!R194='Dados completos'!S194,TEXT('Dados completos'!R194,"#,##0"),TEXT('Dados completos'!R194,"#,##0")&amp;", "&amp;TEXT('Dados completos'!S194,"#,##0")))</f>
        <v>1,300, 1,800</v>
      </c>
      <c r="Q35" s="30" t="str">
        <f aca="false">'Dados completos'!M194</f>
        <v>Inglês (ver oferta)</v>
      </c>
      <c r="R35" s="30" t="str">
        <f aca="false">'Dados completos'!AJ194</f>
        <v>Língua-chave FR (exigência 0.4); não exige experiência prévia em finanças; aceita recém-licenciadas.</v>
      </c>
      <c r="S35" s="30" t="str">
        <f aca="false">'Dados completos'!AK194</f>
        <v>Por confirmar</v>
      </c>
      <c r="T35" s="24" t="str">
        <f aca="false">'Dados completos'!AP194</f>
        <v>Parcial (agregador/título)</v>
      </c>
      <c r="U35" s="30" t="str">
        <f aca="false">'Dados completos'!AO194</f>
        <v>Anúncio em plataforma</v>
      </c>
      <c r="V35" s="32" t="str">
        <f aca="false">HYPERLINK('Dados completos'!AN194,"Abrir")</f>
        <v>Abrir</v>
      </c>
    </row>
    <row r="36" customFormat="false" ht="45.75" hidden="false" customHeight="true" outlineLevel="0" collapsed="false">
      <c r="A36" s="24" t="n">
        <f aca="false">'Dados completos'!A197</f>
        <v>194</v>
      </c>
      <c r="B36" s="25" t="str">
        <f aca="false">'Dados completos'!AL197</f>
        <v>Candidatar (reach)</v>
      </c>
      <c r="C36" s="24" t="n">
        <f aca="false">'Dados completos'!Y197</f>
        <v>3</v>
      </c>
      <c r="D36" s="26" t="n">
        <f aca="false">'Dados completos'!AF197</f>
        <v>87.55</v>
      </c>
      <c r="E36" s="27" t="n">
        <f aca="false">'Dados completos'!AH197</f>
        <v>0.116048</v>
      </c>
      <c r="F36" s="28" t="str">
        <f aca="false">'Dados completos'!AI197</f>
        <v>Boa</v>
      </c>
      <c r="G36" s="29" t="str">
        <f aca="false">'Dados completos'!B197</f>
        <v>Empresa por confirmar</v>
      </c>
      <c r="H36" s="30" t="str">
        <f aca="false">'Dados completos'!C197</f>
        <v>Operational Risk Data Analyst Trainee (Lisboa)</v>
      </c>
      <c r="I36" s="30" t="str">
        <f aca="false">'Dados completos'!E197</f>
        <v>Serviços financeiros</v>
      </c>
      <c r="J36" s="24" t="str">
        <f aca="false">'Dados completos'!F197</f>
        <v>Portugal</v>
      </c>
      <c r="K36" s="30" t="str">
        <f aca="false">'Dados completos'!G197</f>
        <v>Lisboa</v>
      </c>
      <c r="L36" s="30" t="str">
        <f aca="false">'Dados completos'!H197</f>
        <v>Não indicado (provável presencial)</v>
      </c>
      <c r="M36" s="30" t="str">
        <f aca="false">'Dados completos'!I197</f>
        <v>Não indicado</v>
      </c>
      <c r="N36" s="31" t="str">
        <f aca="false">'Dados completos'!O197</f>
        <v>Não indicado</v>
      </c>
      <c r="O36" s="28" t="str">
        <f aca="false">'Dados completos'!V197</f>
        <v>Média-alta</v>
      </c>
      <c r="P36" s="30" t="str">
        <f aca="false">IF('Dados completos'!R197="","n/d",IF('Dados completos'!R197='Dados completos'!S197,TEXT('Dados completos'!R197,"#,##0"),TEXT('Dados completos'!R197,"#,##0")&amp;", "&amp;TEXT('Dados completos'!S197,"#,##0")))</f>
        <v>1,100, 1,500</v>
      </c>
      <c r="Q36" s="30" t="str">
        <f aca="false">'Dados completos'!M197</f>
        <v>Inglês (ver oferta)</v>
      </c>
      <c r="R36" s="30" t="str">
        <f aca="false">'Dados completos'!AJ197</f>
        <v>Língua-chave EN (exigência 0.8); não exige experiência prévia em finanças; aceita recém-licenciadas.</v>
      </c>
      <c r="S36" s="30" t="str">
        <f aca="false">'Dados completos'!AK197</f>
        <v>Por confirmar</v>
      </c>
      <c r="T36" s="24" t="str">
        <f aca="false">'Dados completos'!AP197</f>
        <v>Parcial (agregador/título)</v>
      </c>
      <c r="U36" s="30" t="str">
        <f aca="false">'Dados completos'!AO197</f>
        <v>Anúncio em plataforma</v>
      </c>
      <c r="V36" s="32" t="str">
        <f aca="false">HYPERLINK('Dados completos'!AN197,"Abrir")</f>
        <v>Abrir</v>
      </c>
    </row>
    <row r="37" customFormat="false" ht="45.75" hidden="false" customHeight="true" outlineLevel="0" collapsed="false">
      <c r="A37" s="24" t="n">
        <f aca="false">'Dados completos'!A219</f>
        <v>216</v>
      </c>
      <c r="B37" s="25" t="str">
        <f aca="false">'Dados completos'!AL219</f>
        <v>Reserva</v>
      </c>
      <c r="C37" s="24" t="n">
        <f aca="false">'Dados completos'!Y219</f>
        <v>2.9</v>
      </c>
      <c r="D37" s="26" t="n">
        <f aca="false">'Dados completos'!AF219</f>
        <v>87</v>
      </c>
      <c r="E37" s="27" t="n">
        <f aca="false">'Dados completos'!AH219</f>
        <v>0.11552</v>
      </c>
      <c r="F37" s="28" t="str">
        <f aca="false">'Dados completos'!AI219</f>
        <v>Boa</v>
      </c>
      <c r="G37" s="29" t="str">
        <f aca="false">'Dados completos'!B219</f>
        <v>BNP Paribas Personal Finance</v>
      </c>
      <c r="H37" s="30" t="str">
        <f aca="false">'Dados completos'!C219</f>
        <v>Rising Talents (programa de 12 meses)</v>
      </c>
      <c r="I37" s="30" t="str">
        <f aca="false">'Dados completos'!E219</f>
        <v>Serviços financeiros</v>
      </c>
      <c r="J37" s="24" t="str">
        <f aca="false">'Dados completos'!F219</f>
        <v>Portugal</v>
      </c>
      <c r="K37" s="30" t="str">
        <f aca="false">'Dados completos'!G219</f>
        <v>Lisboa</v>
      </c>
      <c r="L37" s="30" t="str">
        <f aca="false">'Dados completos'!H219</f>
        <v>Não indicado (provável presencial)</v>
      </c>
      <c r="M37" s="30" t="str">
        <f aca="false">'Dados completos'!I219</f>
        <v>Não indicado</v>
      </c>
      <c r="N37" s="31" t="str">
        <f aca="false">'Dados completos'!O219</f>
        <v>Não indicado</v>
      </c>
      <c r="O37" s="28" t="str">
        <f aca="false">'Dados completos'!V219</f>
        <v>Média-alta</v>
      </c>
      <c r="P37" s="30" t="str">
        <f aca="false">IF('Dados completos'!R219="","n/d",IF('Dados completos'!R219='Dados completos'!S219,TEXT('Dados completos'!R219,"#,##0"),TEXT('Dados completos'!R219,"#,##0")&amp;", "&amp;TEXT('Dados completos'!S219,"#,##0")))</f>
        <v>1,100, 1,500</v>
      </c>
      <c r="Q37" s="30" t="str">
        <f aca="false">'Dados completos'!M219</f>
        <v>Inglês (ver oferta)</v>
      </c>
      <c r="R37" s="30" t="str">
        <f aca="false">'Dados completos'!AJ219</f>
        <v>Língua-chave PT (exigência 0.3); não exige experiência prévia em finanças; aceita recém-licenciadas.</v>
      </c>
      <c r="S37" s="30" t="str">
        <f aca="false">'Dados completos'!AK219</f>
        <v>Por confirmar</v>
      </c>
      <c r="T37" s="24" t="str">
        <f aca="false">'Dados completos'!AP219</f>
        <v>Parcial (agregador/título)</v>
      </c>
      <c r="U37" s="30" t="str">
        <f aca="false">'Dados completos'!AO219</f>
        <v>Anúncio em plataforma</v>
      </c>
      <c r="V37" s="32" t="str">
        <f aca="false">HYPERLINK('Dados completos'!AN219,"Abrir")</f>
        <v>Abrir</v>
      </c>
    </row>
    <row r="38" customFormat="false" ht="45.75" hidden="false" customHeight="true" outlineLevel="0" collapsed="false">
      <c r="A38" s="24" t="n">
        <f aca="false">'Dados completos'!A202</f>
        <v>199</v>
      </c>
      <c r="B38" s="25" t="str">
        <f aca="false">'Dados completos'!AL202</f>
        <v>Reserva</v>
      </c>
      <c r="C38" s="24" t="n">
        <f aca="false">'Dados completos'!Y202</f>
        <v>2</v>
      </c>
      <c r="D38" s="26" t="n">
        <f aca="false">'Dados completos'!AF202</f>
        <v>63.85</v>
      </c>
      <c r="E38" s="27" t="n">
        <f aca="false">'Dados completos'!AH202</f>
        <v>0.139944</v>
      </c>
      <c r="F38" s="28" t="str">
        <f aca="false">'Dados completos'!AI202</f>
        <v>Boa</v>
      </c>
      <c r="G38" s="29" t="str">
        <f aca="false">'Dados completos'!B202</f>
        <v>Empresa por confirmar</v>
      </c>
      <c r="H38" s="30" t="str">
        <f aca="false">'Dados completos'!C202</f>
        <v>Customer Finance Intern, falante de francês (Lisboa)</v>
      </c>
      <c r="I38" s="30" t="str">
        <f aca="false">'Dados completos'!E202</f>
        <v>Serviços financeiros</v>
      </c>
      <c r="J38" s="24" t="str">
        <f aca="false">'Dados completos'!F202</f>
        <v>Portugal</v>
      </c>
      <c r="K38" s="30" t="str">
        <f aca="false">'Dados completos'!G202</f>
        <v>Lisboa</v>
      </c>
      <c r="L38" s="30" t="str">
        <f aca="false">'Dados completos'!H202</f>
        <v>Não indicado (provável presencial)</v>
      </c>
      <c r="M38" s="30" t="str">
        <f aca="false">'Dados completos'!I202</f>
        <v>Não indicado</v>
      </c>
      <c r="N38" s="31" t="str">
        <f aca="false">'Dados completos'!O202</f>
        <v>Não indicado</v>
      </c>
      <c r="O38" s="28" t="str">
        <f aca="false">'Dados completos'!V202</f>
        <v>Média</v>
      </c>
      <c r="P38" s="30" t="str">
        <f aca="false">IF('Dados completos'!R202="","n/d",IF('Dados completos'!R202='Dados completos'!S202,TEXT('Dados completos'!R202,"#,##0"),TEXT('Dados completos'!R202,"#,##0")&amp;", "&amp;TEXT('Dados completos'!S202,"#,##0")))</f>
        <v>1,000, 1,300</v>
      </c>
      <c r="Q38" s="30" t="str">
        <f aca="false">'Dados completos'!M202</f>
        <v>Francês e inglês (ver oferta)</v>
      </c>
      <c r="R38" s="30" t="str">
        <f aca="false">'Dados completos'!AJ202</f>
        <v>Língua-chave FR (exigência 0.9); não exige experiência prévia em finanças; aceita recém-licenciadas.</v>
      </c>
      <c r="S38" s="30" t="str">
        <f aca="false">'Dados completos'!AK202</f>
        <v>Por confirmar</v>
      </c>
      <c r="T38" s="24" t="str">
        <f aca="false">'Dados completos'!AP202</f>
        <v>Parcial (agregador/título)</v>
      </c>
      <c r="U38" s="30" t="str">
        <f aca="false">'Dados completos'!AO202</f>
        <v>Anúncio em plataforma</v>
      </c>
      <c r="V38" s="32" t="str">
        <f aca="false">HYPERLINK('Dados completos'!AN202,"Abrir")</f>
        <v>Abrir</v>
      </c>
    </row>
    <row r="39" customFormat="false" ht="45.75" hidden="false" customHeight="true" outlineLevel="0" collapsed="false">
      <c r="A39" s="24" t="n">
        <f aca="false">'Dados completos'!A164</f>
        <v>161</v>
      </c>
      <c r="B39" s="25" t="str">
        <f aca="false">'Dados completos'!AL164</f>
        <v>Reserva</v>
      </c>
      <c r="C39" s="24" t="n">
        <f aca="false">'Dados completos'!Y164</f>
        <v>2.6</v>
      </c>
      <c r="D39" s="26" t="n">
        <f aca="false">'Dados completos'!AF164</f>
        <v>92.5</v>
      </c>
      <c r="E39" s="27" t="n">
        <f aca="false">'Dados completos'!AH164</f>
        <v>0.1812</v>
      </c>
      <c r="F39" s="28" t="str">
        <f aca="false">'Dados completos'!AI164</f>
        <v>Boa</v>
      </c>
      <c r="G39" s="29" t="str">
        <f aca="false">'Dados completos'!B164</f>
        <v>EY</v>
      </c>
      <c r="H39" s="30" t="str">
        <f aca="false">'Dados completos'!C164</f>
        <v>New Graduates January 2027, Assurance (Lisboa &amp; Porto)</v>
      </c>
      <c r="I39" s="30" t="str">
        <f aca="false">'Dados completos'!E164</f>
        <v>Big 4 / consultoria</v>
      </c>
      <c r="J39" s="24" t="str">
        <f aca="false">'Dados completos'!F164</f>
        <v>Portugal</v>
      </c>
      <c r="K39" s="30" t="str">
        <f aca="false">'Dados completos'!G164</f>
        <v>Lisboa</v>
      </c>
      <c r="L39" s="30" t="str">
        <f aca="false">'Dados completos'!H164</f>
        <v>Não indicado (provável presencial)</v>
      </c>
      <c r="M39" s="30" t="str">
        <f aca="false">'Dados completos'!I164</f>
        <v>Jan 2027</v>
      </c>
      <c r="N39" s="31" t="str">
        <f aca="false">'Dados completos'!O164</f>
        <v>Não indicado</v>
      </c>
      <c r="O39" s="28" t="str">
        <f aca="false">'Dados completos'!V164</f>
        <v>Média</v>
      </c>
      <c r="P39" s="30" t="str">
        <f aca="false">IF('Dados completos'!R164="","n/d",IF('Dados completos'!R164='Dados completos'!S164,TEXT('Dados completos'!R164,"#,##0"),TEXT('Dados completos'!R164,"#,##0")&amp;", "&amp;TEXT('Dados completos'!S164,"#,##0")))</f>
        <v>1,000, 1,400</v>
      </c>
      <c r="Q39" s="30" t="str">
        <f aca="false">'Dados completos'!M164</f>
        <v>Português e inglês (ver oferta)</v>
      </c>
      <c r="R39" s="30" t="str">
        <f aca="false">'Dados completos'!AJ164</f>
        <v>Língua-chave PT (exigência 1); não exige experiência prévia em finanças; aceita recém-licenciadas.</v>
      </c>
      <c r="S39" s="30" t="str">
        <f aca="false">'Dados completos'!AK164</f>
        <v>Por confirmar</v>
      </c>
      <c r="T39" s="24" t="str">
        <f aca="false">'Dados completos'!AP164</f>
        <v>Parcial (agregador/título)</v>
      </c>
      <c r="U39" s="30" t="str">
        <f aca="false">'Dados completos'!AO164</f>
        <v>Página de carreiras (procurar a vaga)</v>
      </c>
      <c r="V39" s="32" t="str">
        <f aca="false">HYPERLINK('Dados completos'!AN164,"Abrir")</f>
        <v>Abrir</v>
      </c>
    </row>
    <row r="40" customFormat="false" ht="45.75" hidden="false" customHeight="true" outlineLevel="0" collapsed="false">
      <c r="A40" s="24" t="n">
        <f aca="false">'Dados completos'!A170</f>
        <v>167</v>
      </c>
      <c r="B40" s="25" t="str">
        <f aca="false">'Dados completos'!AL170</f>
        <v>Reserva</v>
      </c>
      <c r="C40" s="24" t="n">
        <f aca="false">'Dados completos'!Y170</f>
        <v>2.6</v>
      </c>
      <c r="D40" s="26" t="n">
        <f aca="false">'Dados completos'!AF170</f>
        <v>92.5</v>
      </c>
      <c r="E40" s="27" t="n">
        <f aca="false">'Dados completos'!AH170</f>
        <v>0.1812</v>
      </c>
      <c r="F40" s="28" t="str">
        <f aca="false">'Dados completos'!AI170</f>
        <v>Boa</v>
      </c>
      <c r="G40" s="29" t="str">
        <f aca="false">'Dados completos'!B170</f>
        <v>Auchan Retail Portugal</v>
      </c>
      <c r="H40" s="30" t="str">
        <f aca="false">'Dados completos'!C170</f>
        <v>Empower Trainee Program (estágio profissional, Grande Lisboa)</v>
      </c>
      <c r="I40" s="30" t="str">
        <f aca="false">'Dados completos'!E170</f>
        <v>Big corporate</v>
      </c>
      <c r="J40" s="24" t="str">
        <f aca="false">'Dados completos'!F170</f>
        <v>Portugal</v>
      </c>
      <c r="K40" s="30" t="str">
        <f aca="false">'Dados completos'!G170</f>
        <v>Lisboa</v>
      </c>
      <c r="L40" s="30" t="str">
        <f aca="false">'Dados completos'!H170</f>
        <v>Não indicado (provável presencial)</v>
      </c>
      <c r="M40" s="30" t="str">
        <f aca="false">'Dados completos'!I170</f>
        <v>Não indicado</v>
      </c>
      <c r="N40" s="31" t="str">
        <f aca="false">'Dados completos'!O170</f>
        <v>Não indicado</v>
      </c>
      <c r="O40" s="28" t="str">
        <f aca="false">'Dados completos'!V170</f>
        <v>Média</v>
      </c>
      <c r="P40" s="30" t="str">
        <f aca="false">IF('Dados completos'!R170="","n/d",IF('Dados completos'!R170='Dados completos'!S170,TEXT('Dados completos'!R170,"#,##0"),TEXT('Dados completos'!R170,"#,##0")&amp;", "&amp;TEXT('Dados completos'!S170,"#,##0")))</f>
        <v>1,000, 1,250</v>
      </c>
      <c r="Q40" s="30" t="str">
        <f aca="false">'Dados completos'!M170</f>
        <v>Inglês (ver oferta)</v>
      </c>
      <c r="R40" s="30" t="str">
        <f aca="false">'Dados completos'!AJ170</f>
        <v>Língua-chave PT (exigência 0.3); não exige experiência prévia em finanças; aceita recém-licenciadas.</v>
      </c>
      <c r="S40" s="30" t="str">
        <f aca="false">'Dados completos'!AK170</f>
        <v>Por confirmar</v>
      </c>
      <c r="T40" s="24" t="str">
        <f aca="false">'Dados completos'!AP170</f>
        <v>Parcial (agregador/título)</v>
      </c>
      <c r="U40" s="30" t="str">
        <f aca="false">'Dados completos'!AO170</f>
        <v>Direto (site/ATS da empresa)</v>
      </c>
      <c r="V40" s="32" t="str">
        <f aca="false">HYPERLINK('Dados completos'!AN170,"Abrir")</f>
        <v>Abrir</v>
      </c>
    </row>
    <row r="41" customFormat="false" ht="45.75" hidden="false" customHeight="true" outlineLevel="0" collapsed="false">
      <c r="A41" s="24" t="n">
        <f aca="false">'Dados completos'!A177</f>
        <v>174</v>
      </c>
      <c r="B41" s="25" t="str">
        <f aca="false">'Dados completos'!AL177</f>
        <v>Reserva</v>
      </c>
      <c r="C41" s="24" t="n">
        <f aca="false">'Dados completos'!Y177</f>
        <v>2.6</v>
      </c>
      <c r="D41" s="26" t="n">
        <f aca="false">'Dados completos'!AF177</f>
        <v>92.5</v>
      </c>
      <c r="E41" s="27" t="n">
        <f aca="false">'Dados completos'!AH177</f>
        <v>0.1812</v>
      </c>
      <c r="F41" s="28" t="str">
        <f aca="false">'Dados completos'!AI177</f>
        <v>Boa</v>
      </c>
      <c r="G41" s="29" t="str">
        <f aca="false">'Dados completos'!B177</f>
        <v>Santander Portugal</v>
      </c>
      <c r="H41" s="30" t="str">
        <f aca="false">'Dados completos'!C177</f>
        <v>Estágio, Comunicação e Brand Management</v>
      </c>
      <c r="I41" s="30" t="str">
        <f aca="false">'Dados completos'!E177</f>
        <v>Banca comercial</v>
      </c>
      <c r="J41" s="24" t="str">
        <f aca="false">'Dados completos'!F177</f>
        <v>Portugal</v>
      </c>
      <c r="K41" s="30" t="str">
        <f aca="false">'Dados completos'!G177</f>
        <v>Lisboa</v>
      </c>
      <c r="L41" s="30" t="str">
        <f aca="false">'Dados completos'!H177</f>
        <v>Não indicado (provável presencial)</v>
      </c>
      <c r="M41" s="30" t="str">
        <f aca="false">'Dados completos'!I177</f>
        <v>Não indicado</v>
      </c>
      <c r="N41" s="31" t="str">
        <f aca="false">'Dados completos'!O177</f>
        <v>Não indicado</v>
      </c>
      <c r="O41" s="28" t="str">
        <f aca="false">'Dados completos'!V177</f>
        <v>Média</v>
      </c>
      <c r="P41" s="30" t="str">
        <f aca="false">IF('Dados completos'!R177="","n/d",IF('Dados completos'!R177='Dados completos'!S177,TEXT('Dados completos'!R177,"#,##0"),TEXT('Dados completos'!R177,"#,##0")&amp;", "&amp;TEXT('Dados completos'!S177,"#,##0")))</f>
        <v>1,000, 1,300</v>
      </c>
      <c r="Q41" s="30" t="str">
        <f aca="false">'Dados completos'!M177</f>
        <v>Inglês (ver oferta)</v>
      </c>
      <c r="R41" s="30" t="str">
        <f aca="false">'Dados completos'!AJ177</f>
        <v>Língua-chave PT (exigência 0.3); não exige experiência prévia em finanças; aceita recém-licenciadas.</v>
      </c>
      <c r="S41" s="30" t="str">
        <f aca="false">'Dados completos'!AK177</f>
        <v>Por confirmar</v>
      </c>
      <c r="T41" s="24" t="str">
        <f aca="false">'Dados completos'!AP177</f>
        <v>Parcial (agregador/título)</v>
      </c>
      <c r="U41" s="30" t="str">
        <f aca="false">'Dados completos'!AO177</f>
        <v>Direto (site/ATS da empresa)</v>
      </c>
      <c r="V41" s="32" t="str">
        <f aca="false">HYPERLINK('Dados completos'!AN177,"Abrir")</f>
        <v>Abrir</v>
      </c>
    </row>
    <row r="42" customFormat="false" ht="45.75" hidden="false" customHeight="true" outlineLevel="0" collapsed="false">
      <c r="A42" s="24" t="n">
        <f aca="false">'Dados completos'!A201</f>
        <v>198</v>
      </c>
      <c r="B42" s="25" t="str">
        <f aca="false">'Dados completos'!AL201</f>
        <v>Reserva</v>
      </c>
      <c r="C42" s="24" t="n">
        <f aca="false">'Dados completos'!Y201</f>
        <v>2.5</v>
      </c>
      <c r="D42" s="26" t="n">
        <f aca="false">'Dados completos'!AF201</f>
        <v>91.3</v>
      </c>
      <c r="E42" s="27" t="n">
        <f aca="false">'Dados completos'!AH201</f>
        <v>0.179472</v>
      </c>
      <c r="F42" s="28" t="str">
        <f aca="false">'Dados completos'!AI201</f>
        <v>Boa</v>
      </c>
      <c r="G42" s="29" t="str">
        <f aca="false">'Dados completos'!B201</f>
        <v>Empresa por confirmar</v>
      </c>
      <c r="H42" s="30" t="str">
        <f aca="false">'Dados completos'!C201</f>
        <v>Account Payable Trainee, English Speaker (Lisboa)</v>
      </c>
      <c r="I42" s="30" t="str">
        <f aca="false">'Dados completos'!E201</f>
        <v>Serviços financeiros</v>
      </c>
      <c r="J42" s="24" t="str">
        <f aca="false">'Dados completos'!F201</f>
        <v>Portugal</v>
      </c>
      <c r="K42" s="30" t="str">
        <f aca="false">'Dados completos'!G201</f>
        <v>Lisboa</v>
      </c>
      <c r="L42" s="30" t="str">
        <f aca="false">'Dados completos'!H201</f>
        <v>Não indicado (provável presencial)</v>
      </c>
      <c r="M42" s="30" t="str">
        <f aca="false">'Dados completos'!I201</f>
        <v>Não indicado</v>
      </c>
      <c r="N42" s="31" t="str">
        <f aca="false">'Dados completos'!O201</f>
        <v>Não indicado</v>
      </c>
      <c r="O42" s="28" t="str">
        <f aca="false">'Dados completos'!V201</f>
        <v>Média</v>
      </c>
      <c r="P42" s="30" t="str">
        <f aca="false">IF('Dados completos'!R201="","n/d",IF('Dados completos'!R201='Dados completos'!S201,TEXT('Dados completos'!R201,"#,##0"),TEXT('Dados completos'!R201,"#,##0")&amp;", "&amp;TEXT('Dados completos'!S201,"#,##0")))</f>
        <v>1,000, 1,300</v>
      </c>
      <c r="Q42" s="30" t="str">
        <f aca="false">'Dados completos'!M201</f>
        <v>Inglês (ver oferta)</v>
      </c>
      <c r="R42" s="30" t="str">
        <f aca="false">'Dados completos'!AJ201</f>
        <v>Língua-chave EN (exigência 0.8); não exige experiência prévia em finanças; aceita recém-licenciadas.</v>
      </c>
      <c r="S42" s="30" t="str">
        <f aca="false">'Dados completos'!AK201</f>
        <v>Por confirmar</v>
      </c>
      <c r="T42" s="24" t="str">
        <f aca="false">'Dados completos'!AP201</f>
        <v>Parcial (agregador/título)</v>
      </c>
      <c r="U42" s="30" t="str">
        <f aca="false">'Dados completos'!AO201</f>
        <v>Anúncio em plataforma</v>
      </c>
      <c r="V42" s="32" t="str">
        <f aca="false">HYPERLINK('Dados completos'!AN201,"Abrir")</f>
        <v>Abrir</v>
      </c>
    </row>
    <row r="43" customFormat="false" ht="45.75" hidden="false" customHeight="true" outlineLevel="0" collapsed="false">
      <c r="A43" s="24" t="n">
        <f aca="false">'Dados completos'!A168</f>
        <v>165</v>
      </c>
      <c r="B43" s="25" t="str">
        <f aca="false">'Dados completos'!AL168</f>
        <v>Reserva</v>
      </c>
      <c r="C43" s="24" t="n">
        <f aca="false">'Dados completos'!Y168</f>
        <v>2.5</v>
      </c>
      <c r="D43" s="26" t="n">
        <f aca="false">'Dados completos'!AF168</f>
        <v>90</v>
      </c>
      <c r="E43" s="27" t="n">
        <f aca="false">'Dados completos'!AH168</f>
        <v>0.1776</v>
      </c>
      <c r="F43" s="28" t="str">
        <f aca="false">'Dados completos'!AI168</f>
        <v>Boa</v>
      </c>
      <c r="G43" s="29" t="str">
        <f aca="false">'Dados completos'!B168</f>
        <v>CP, Comboios de Portugal</v>
      </c>
      <c r="H43" s="30" t="str">
        <f aca="false">'Dados completos'!C168</f>
        <v>CPTrainUP, 2.ª edição (trainees, início janeiro 2027)</v>
      </c>
      <c r="I43" s="30" t="str">
        <f aca="false">'Dados completos'!E168</f>
        <v>Big corporate</v>
      </c>
      <c r="J43" s="24" t="str">
        <f aca="false">'Dados completos'!F168</f>
        <v>Portugal</v>
      </c>
      <c r="K43" s="30" t="str">
        <f aca="false">'Dados completos'!G168</f>
        <v>Lisboa</v>
      </c>
      <c r="L43" s="30" t="str">
        <f aca="false">'Dados completos'!H168</f>
        <v>Não indicado (provável presencial)</v>
      </c>
      <c r="M43" s="30" t="str">
        <f aca="false">'Dados completos'!I168</f>
        <v>Jan 2027</v>
      </c>
      <c r="N43" s="31" t="str">
        <f aca="false">'Dados completos'!O168</f>
        <v>Não indicado</v>
      </c>
      <c r="O43" s="28" t="str">
        <f aca="false">'Dados completos'!V168</f>
        <v>Média</v>
      </c>
      <c r="P43" s="30" t="str">
        <f aca="false">IF('Dados completos'!R168="","n/d",IF('Dados completos'!R168='Dados completos'!S168,TEXT('Dados completos'!R168,"#,##0"),TEXT('Dados completos'!R168,"#,##0")&amp;", "&amp;TEXT('Dados completos'!S168,"#,##0")))</f>
        <v>1,100, 1,400</v>
      </c>
      <c r="Q43" s="30" t="str">
        <f aca="false">'Dados completos'!M168</f>
        <v>Português</v>
      </c>
      <c r="R43" s="30" t="str">
        <f aca="false">'Dados completos'!AJ168</f>
        <v>Língua-chave PT (exigência 0.3); não exige experiência prévia em finanças; aceita recém-licenciadas.</v>
      </c>
      <c r="S43" s="30" t="str">
        <f aca="false">'Dados completos'!AK168</f>
        <v>Aberta (prazo não indicado)</v>
      </c>
      <c r="T43" s="24" t="str">
        <f aca="false">'Dados completos'!AP168</f>
        <v>Parcial (agregador/título)</v>
      </c>
      <c r="U43" s="30" t="str">
        <f aca="false">'Dados completos'!AO168</f>
        <v>Direto (site/ATS da empresa)</v>
      </c>
      <c r="V43" s="32" t="str">
        <f aca="false">HYPERLINK('Dados completos'!AN168,"Abrir")</f>
        <v>Abrir</v>
      </c>
    </row>
    <row r="44" customFormat="false" ht="45.75" hidden="false" customHeight="true" outlineLevel="0" collapsed="false">
      <c r="A44" s="24" t="n">
        <f aca="false">'Dados completos'!A68</f>
        <v>65</v>
      </c>
      <c r="B44" s="25" t="str">
        <f aca="false">'Dados completos'!AL68</f>
        <v>Reserva</v>
      </c>
      <c r="C44" s="24" t="n">
        <f aca="false">'Dados completos'!Y68</f>
        <v>2.4</v>
      </c>
      <c r="D44" s="26" t="n">
        <f aca="false">'Dados completos'!AF68</f>
        <v>51.25</v>
      </c>
      <c r="E44" s="27" t="n">
        <f aca="false">'Dados completos'!AH68</f>
        <v>0.0812</v>
      </c>
      <c r="F44" s="28" t="str">
        <f aca="false">'Dados completos'!AI68</f>
        <v>Boa</v>
      </c>
      <c r="G44" s="29" t="str">
        <f aca="false">'Dados completos'!B68</f>
        <v>Rothschild &amp; Co</v>
      </c>
      <c r="H44" s="30" t="str">
        <f aca="false">'Dados completos'!C68</f>
        <v>Administrative &amp; Finance Intern, Five Arrows (Luxemburgo), Março 2027</v>
      </c>
      <c r="I44" s="30" t="str">
        <f aca="false">'Dados completos'!E68</f>
        <v>Banca de investimento / boutique</v>
      </c>
      <c r="J44" s="24" t="str">
        <f aca="false">'Dados completos'!F68</f>
        <v>Luxemburgo</v>
      </c>
      <c r="K44" s="30" t="str">
        <f aca="false">'Dados completos'!G68</f>
        <v>Luxemburgo</v>
      </c>
      <c r="L44" s="30" t="str">
        <f aca="false">'Dados completos'!H68</f>
        <v>Não indicado (provável presencial)</v>
      </c>
      <c r="M44" s="30" t="str">
        <f aca="false">'Dados completos'!I68</f>
        <v>Mar 2027 (não é janeiro)</v>
      </c>
      <c r="N44" s="31" t="str">
        <f aca="false">'Dados completos'!O68</f>
        <v>Não indicado</v>
      </c>
      <c r="O44" s="28" t="str">
        <f aca="false">'Dados completos'!V68</f>
        <v>Média-alta</v>
      </c>
      <c r="P44" s="30" t="str">
        <f aca="false">IF('Dados completos'!R68="","n/d",IF('Dados completos'!R68='Dados completos'!S68,TEXT('Dados completos'!R68,"#,##0"),TEXT('Dados completos'!R68,"#,##0")&amp;", "&amp;TEXT('Dados completos'!S68,"#,##0")))</f>
        <v>1,800, 2,500</v>
      </c>
      <c r="Q44" s="30" t="str">
        <f aca="false">'Dados completos'!M68</f>
        <v>Francês e inglês (ver oferta)</v>
      </c>
      <c r="R44" s="30" t="str">
        <f aca="false">'Dados completos'!AJ68</f>
        <v>Língua-chave FR (exigência 0.5); experiência prévia em finanças valorizada, CV tem pouca; exige mestrado em curso ou convenção de estágio, risco.</v>
      </c>
      <c r="S44" s="30" t="str">
        <f aca="false">'Dados completos'!AK68</f>
        <v>Por confirmar</v>
      </c>
      <c r="T44" s="24" t="str">
        <f aca="false">'Dados completos'!AP68</f>
        <v>Parcial (agregador/título)</v>
      </c>
      <c r="U44" s="30" t="str">
        <f aca="false">'Dados completos'!AO68</f>
        <v>Direto (site/ATS da empresa)</v>
      </c>
      <c r="V44" s="32" t="str">
        <f aca="false">HYPERLINK('Dados completos'!AN68,"Abrir")</f>
        <v>Abrir</v>
      </c>
    </row>
    <row r="45" customFormat="false" ht="45.75" hidden="false" customHeight="true" outlineLevel="0" collapsed="false">
      <c r="A45" s="24" t="n">
        <f aca="false">'Dados completos'!A167</f>
        <v>164</v>
      </c>
      <c r="B45" s="25" t="str">
        <f aca="false">'Dados completos'!AL167</f>
        <v>Reserva</v>
      </c>
      <c r="C45" s="24" t="n">
        <f aca="false">'Dados completos'!Y167</f>
        <v>2.8</v>
      </c>
      <c r="D45" s="26" t="n">
        <f aca="false">'Dados completos'!AF167</f>
        <v>91</v>
      </c>
      <c r="E45" s="27" t="n">
        <f aca="false">'Dados completos'!AH167</f>
        <v>0.11936</v>
      </c>
      <c r="F45" s="28" t="str">
        <f aca="false">'Dados completos'!AI167</f>
        <v>Boa</v>
      </c>
      <c r="G45" s="29" t="str">
        <f aca="false">'Dados completos'!B167</f>
        <v>Coca-Cola Europacific Partners</v>
      </c>
      <c r="H45" s="30" t="str">
        <f aca="false">'Dados completos'!C167</f>
        <v>Programa Graduates, Desenvolvimento Comercial (Lisboa)</v>
      </c>
      <c r="I45" s="30" t="str">
        <f aca="false">'Dados completos'!E167</f>
        <v>Big corporate</v>
      </c>
      <c r="J45" s="24" t="str">
        <f aca="false">'Dados completos'!F167</f>
        <v>Portugal</v>
      </c>
      <c r="K45" s="30" t="str">
        <f aca="false">'Dados completos'!G167</f>
        <v>Lisboa</v>
      </c>
      <c r="L45" s="30" t="str">
        <f aca="false">'Dados completos'!H167</f>
        <v>Não indicado (provável presencial)</v>
      </c>
      <c r="M45" s="30" t="str">
        <f aca="false">'Dados completos'!I167</f>
        <v>Não indicado</v>
      </c>
      <c r="N45" s="31" t="str">
        <f aca="false">'Dados completos'!O167</f>
        <v>Não indicado</v>
      </c>
      <c r="O45" s="28" t="str">
        <f aca="false">'Dados completos'!V167</f>
        <v>Média-alta</v>
      </c>
      <c r="P45" s="30" t="str">
        <f aca="false">IF('Dados completos'!R167="","n/d",IF('Dados completos'!R167='Dados completos'!S167,TEXT('Dados completos'!R167,"#,##0"),TEXT('Dados completos'!R167,"#,##0")&amp;", "&amp;TEXT('Dados completos'!S167,"#,##0")))</f>
        <v>1,200, 1,600</v>
      </c>
      <c r="Q45" s="30" t="str">
        <f aca="false">'Dados completos'!M167</f>
        <v>Inglês C1 (obrigatório); espanhol B2 (preferido)</v>
      </c>
      <c r="R45" s="30" t="str">
        <f aca="false">'Dados completos'!AJ167</f>
        <v>Língua-chave PT (exigência 0.3); não exige experiência prévia em finanças; aceita recém-licenciadas.</v>
      </c>
      <c r="S45" s="30" t="str">
        <f aca="false">'Dados completos'!AK167</f>
        <v>Aberta (prazo não indicado)</v>
      </c>
      <c r="T45" s="24" t="str">
        <f aca="false">'Dados completos'!AP167</f>
        <v>Parcial (agregador/título)</v>
      </c>
      <c r="U45" s="30" t="str">
        <f aca="false">'Dados completos'!AO167</f>
        <v>Direto (site/ATS da empresa)</v>
      </c>
      <c r="V45" s="32" t="str">
        <f aca="false">HYPERLINK('Dados completos'!AN167,"Abrir")</f>
        <v>Abrir</v>
      </c>
    </row>
    <row r="46" customFormat="false" ht="45.75" hidden="false" customHeight="true" outlineLevel="0" collapsed="false">
      <c r="A46" s="24" t="n">
        <f aca="false">'Dados completos'!A171</f>
        <v>168</v>
      </c>
      <c r="B46" s="25" t="str">
        <f aca="false">'Dados completos'!AL171</f>
        <v>Reserva</v>
      </c>
      <c r="C46" s="24" t="n">
        <f aca="false">'Dados completos'!Y171</f>
        <v>2.6</v>
      </c>
      <c r="D46" s="26" t="n">
        <f aca="false">'Dados completos'!AF171</f>
        <v>92.5</v>
      </c>
      <c r="E46" s="27" t="n">
        <f aca="false">'Dados completos'!AH171</f>
        <v>0.1208</v>
      </c>
      <c r="F46" s="28" t="str">
        <f aca="false">'Dados completos'!AI171</f>
        <v>Boa</v>
      </c>
      <c r="G46" s="29" t="str">
        <f aca="false">'Dados completos'!B171</f>
        <v>AstraZeneca Portugal</v>
      </c>
      <c r="H46" s="30" t="str">
        <f aca="false">'Dados completos'!C171</f>
        <v>Life Changers, 3.ª edição (trainees, 11 meses)</v>
      </c>
      <c r="I46" s="30" t="str">
        <f aca="false">'Dados completos'!E171</f>
        <v>Big corporate</v>
      </c>
      <c r="J46" s="24" t="str">
        <f aca="false">'Dados completos'!F171</f>
        <v>Portugal</v>
      </c>
      <c r="K46" s="30" t="str">
        <f aca="false">'Dados completos'!G171</f>
        <v>Lisboa</v>
      </c>
      <c r="L46" s="30" t="str">
        <f aca="false">'Dados completos'!H171</f>
        <v>Não indicado (provável presencial)</v>
      </c>
      <c r="M46" s="30" t="str">
        <f aca="false">'Dados completos'!I171</f>
        <v>Não indicado</v>
      </c>
      <c r="N46" s="31" t="str">
        <f aca="false">'Dados completos'!O171</f>
        <v>Não indicado</v>
      </c>
      <c r="O46" s="28" t="str">
        <f aca="false">'Dados completos'!V171</f>
        <v>Média-alta</v>
      </c>
      <c r="P46" s="30" t="str">
        <f aca="false">IF('Dados completos'!R171="","n/d",IF('Dados completos'!R171='Dados completos'!S171,TEXT('Dados completos'!R171,"#,##0"),TEXT('Dados completos'!R171,"#,##0")&amp;", "&amp;TEXT('Dados completos'!S171,"#,##0")))</f>
        <v>1,200, 1,600</v>
      </c>
      <c r="Q46" s="30" t="str">
        <f aca="false">'Dados completos'!M171</f>
        <v>Inglês (ver oferta)</v>
      </c>
      <c r="R46" s="30" t="str">
        <f aca="false">'Dados completos'!AJ171</f>
        <v>Língua-chave PT (exigência 0.3); não exige experiência prévia em finanças; aceita recém-licenciadas.</v>
      </c>
      <c r="S46" s="30" t="str">
        <f aca="false">'Dados completos'!AK171</f>
        <v>Por confirmar</v>
      </c>
      <c r="T46" s="24" t="str">
        <f aca="false">'Dados completos'!AP171</f>
        <v>Parcial (agregador/título)</v>
      </c>
      <c r="U46" s="30" t="str">
        <f aca="false">'Dados completos'!AO171</f>
        <v>Direto (site/ATS da empresa)</v>
      </c>
      <c r="V46" s="32" t="str">
        <f aca="false">HYPERLINK('Dados completos'!AN171,"Abrir")</f>
        <v>Abrir</v>
      </c>
    </row>
    <row r="47" customFormat="false" ht="45.75" hidden="false" customHeight="true" outlineLevel="0" collapsed="false">
      <c r="A47" s="24" t="n">
        <f aca="false">'Dados completos'!A173</f>
        <v>170</v>
      </c>
      <c r="B47" s="25" t="str">
        <f aca="false">'Dados completos'!AL173</f>
        <v>Reserva</v>
      </c>
      <c r="C47" s="24" t="n">
        <f aca="false">'Dados completos'!Y173</f>
        <v>2.5</v>
      </c>
      <c r="D47" s="26" t="n">
        <f aca="false">'Dados completos'!AF173</f>
        <v>89.5</v>
      </c>
      <c r="E47" s="27" t="n">
        <f aca="false">'Dados completos'!AH173</f>
        <v>0.11792</v>
      </c>
      <c r="F47" s="28" t="str">
        <f aca="false">'Dados completos'!AI173</f>
        <v>Boa</v>
      </c>
      <c r="G47" s="29" t="str">
        <f aca="false">'Dados completos'!B173</f>
        <v>Mondelēz International</v>
      </c>
      <c r="H47" s="30" t="str">
        <f aca="false">'Dados completos'!C173</f>
        <v>Taste the Future, Order to Cash Trainee</v>
      </c>
      <c r="I47" s="30" t="str">
        <f aca="false">'Dados completos'!E173</f>
        <v>Big corporate</v>
      </c>
      <c r="J47" s="24" t="str">
        <f aca="false">'Dados completos'!F173</f>
        <v>Portugal</v>
      </c>
      <c r="K47" s="30" t="str">
        <f aca="false">'Dados completos'!G173</f>
        <v>Lisboa</v>
      </c>
      <c r="L47" s="30" t="str">
        <f aca="false">'Dados completos'!H173</f>
        <v>Não indicado (provável presencial)</v>
      </c>
      <c r="M47" s="30" t="str">
        <f aca="false">'Dados completos'!I173</f>
        <v>Não indicado</v>
      </c>
      <c r="N47" s="31" t="str">
        <f aca="false">'Dados completos'!O173</f>
        <v>Não indicado</v>
      </c>
      <c r="O47" s="28" t="str">
        <f aca="false">'Dados completos'!V173</f>
        <v>Média-alta</v>
      </c>
      <c r="P47" s="30" t="str">
        <f aca="false">IF('Dados completos'!R173="","n/d",IF('Dados completos'!R173='Dados completos'!S173,TEXT('Dados completos'!R173,"#,##0"),TEXT('Dados completos'!R173,"#,##0")&amp;", "&amp;TEXT('Dados completos'!S173,"#,##0")))</f>
        <v>1,000, 1,300</v>
      </c>
      <c r="Q47" s="30" t="str">
        <f aca="false">'Dados completos'!M173</f>
        <v>Inglês (ver oferta)</v>
      </c>
      <c r="R47" s="30" t="str">
        <f aca="false">'Dados completos'!AJ173</f>
        <v>Língua-chave PT (exigência 0.3); não exige experiência prévia em finanças; aceita recém-licenciadas.</v>
      </c>
      <c r="S47" s="30" t="str">
        <f aca="false">'Dados completos'!AK173</f>
        <v>Por confirmar</v>
      </c>
      <c r="T47" s="24" t="str">
        <f aca="false">'Dados completos'!AP173</f>
        <v>Parcial (agregador/título)</v>
      </c>
      <c r="U47" s="30" t="str">
        <f aca="false">'Dados completos'!AO173</f>
        <v>Anúncio em plataforma</v>
      </c>
      <c r="V47" s="32" t="str">
        <f aca="false">HYPERLINK('Dados completos'!AN173,"Abrir")</f>
        <v>Abrir</v>
      </c>
    </row>
    <row r="48" customFormat="false" ht="45.75" hidden="false" customHeight="true" outlineLevel="0" collapsed="false">
      <c r="A48" s="24" t="n">
        <f aca="false">'Dados completos'!A158</f>
        <v>155</v>
      </c>
      <c r="B48" s="25" t="str">
        <f aca="false">'Dados completos'!AL158</f>
        <v>Prioridade</v>
      </c>
      <c r="C48" s="24" t="n">
        <f aca="false">'Dados completos'!Y158</f>
        <v>3.6</v>
      </c>
      <c r="D48" s="26" t="n">
        <f aca="false">'Dados completos'!AF158</f>
        <v>58</v>
      </c>
      <c r="E48" s="27" t="n">
        <f aca="false">'Dados completos'!AH158</f>
        <v>0.03288</v>
      </c>
      <c r="F48" s="28" t="str">
        <f aca="false">'Dados completos'!AI158</f>
        <v>Média</v>
      </c>
      <c r="G48" s="29" t="str">
        <f aca="false">'Dados completos'!B158</f>
        <v>Eurazeo</v>
      </c>
      <c r="H48" s="30" t="str">
        <f aca="false">'Dados completos'!C158</f>
        <v>Internship, Growth (Paris, S1 2027)</v>
      </c>
      <c r="I48" s="30" t="str">
        <f aca="false">'Dados completos'!E158</f>
        <v>VC / private equity</v>
      </c>
      <c r="J48" s="24" t="str">
        <f aca="false">'Dados completos'!F158</f>
        <v>França</v>
      </c>
      <c r="K48" s="30" t="str">
        <f aca="false">'Dados completos'!G158</f>
        <v>Paris</v>
      </c>
      <c r="L48" s="30" t="str">
        <f aca="false">'Dados completos'!H158</f>
        <v>Não indicado (provável presencial)</v>
      </c>
      <c r="M48" s="30" t="str">
        <f aca="false">'Dados completos'!I158</f>
        <v>Jan 2027 (S1)</v>
      </c>
      <c r="N48" s="31" t="str">
        <f aca="false">'Dados completos'!O158</f>
        <v>Não indicado</v>
      </c>
      <c r="O48" s="28" t="str">
        <f aca="false">'Dados completos'!V158</f>
        <v>Alta</v>
      </c>
      <c r="P48" s="30" t="str">
        <f aca="false">IF('Dados completos'!R158="","n/d",IF('Dados completos'!R158='Dados completos'!S158,TEXT('Dados completos'!R158,"#,##0"),TEXT('Dados completos'!R158,"#,##0")&amp;", "&amp;TEXT('Dados completos'!S158,"#,##0")))</f>
        <v>1,500, 2,500</v>
      </c>
      <c r="Q48" s="30" t="str">
        <f aca="false">'Dados completos'!M158</f>
        <v>Inglês (ver oferta)</v>
      </c>
      <c r="R48" s="30" t="str">
        <f aca="false">'Dados completos'!AJ158</f>
        <v>Língua-chave EN (exigência 1); experiência prévia em finanças valorizada, CV tem pouca; exige mestrado em curso ou convenção de estágio, risco.</v>
      </c>
      <c r="S48" s="30" t="str">
        <f aca="false">'Dados completos'!AK158</f>
        <v>Por confirmar</v>
      </c>
      <c r="T48" s="24" t="str">
        <f aca="false">'Dados completos'!AP158</f>
        <v>Parcial (agregador/título)</v>
      </c>
      <c r="U48" s="30" t="str">
        <f aca="false">'Dados completos'!AO158</f>
        <v>Anúncio em plataforma</v>
      </c>
      <c r="V48" s="32" t="str">
        <f aca="false">HYPERLINK('Dados completos'!AN158,"Abrir")</f>
        <v>Abrir</v>
      </c>
    </row>
    <row r="49" customFormat="false" ht="45.75" hidden="false" customHeight="true" outlineLevel="0" collapsed="false">
      <c r="A49" s="24" t="n">
        <f aca="false">'Dados completos'!A224</f>
        <v>221</v>
      </c>
      <c r="B49" s="25" t="str">
        <f aca="false">'Dados completos'!AL224</f>
        <v>Prioridade</v>
      </c>
      <c r="C49" s="24" t="n">
        <f aca="false">'Dados completos'!Y224</f>
        <v>3.5</v>
      </c>
      <c r="D49" s="26" t="n">
        <f aca="false">'Dados completos'!AF224</f>
        <v>65</v>
      </c>
      <c r="E49" s="27" t="n">
        <f aca="false">'Dados completos'!AH224</f>
        <v>0.0354</v>
      </c>
      <c r="F49" s="28" t="str">
        <f aca="false">'Dados completos'!AI224</f>
        <v>Média</v>
      </c>
      <c r="G49" s="29" t="str">
        <f aca="false">'Dados completos'!B224</f>
        <v>Portugal Ventures</v>
      </c>
      <c r="H49" s="30" t="str">
        <f aca="false">'Dados completos'!C224</f>
        <v>Candidatura espontânea (venture capital, Lisboa/Porto)</v>
      </c>
      <c r="I49" s="30" t="str">
        <f aca="false">'Dados completos'!E224</f>
        <v>VC / private equity</v>
      </c>
      <c r="J49" s="24" t="str">
        <f aca="false">'Dados completos'!F224</f>
        <v>Portugal</v>
      </c>
      <c r="K49" s="30" t="str">
        <f aca="false">'Dados completos'!G224</f>
        <v>Lisboa</v>
      </c>
      <c r="L49" s="30" t="str">
        <f aca="false">'Dados completos'!H224</f>
        <v>Não indicado (provável presencial)</v>
      </c>
      <c r="M49" s="30" t="str">
        <f aca="false">'Dados completos'!I224</f>
        <v>Não indicado</v>
      </c>
      <c r="N49" s="31" t="str">
        <f aca="false">'Dados completos'!O224</f>
        <v>Não indicado</v>
      </c>
      <c r="O49" s="28" t="str">
        <f aca="false">'Dados completos'!V224</f>
        <v>Alta</v>
      </c>
      <c r="P49" s="30" t="str">
        <f aca="false">IF('Dados completos'!R224="","n/d",IF('Dados completos'!R224='Dados completos'!S224,TEXT('Dados completos'!R224,"#,##0"),TEXT('Dados completos'!R224,"#,##0")&amp;", "&amp;TEXT('Dados completos'!S224,"#,##0")))</f>
        <v>1,000, 1,300</v>
      </c>
      <c r="Q49" s="30" t="str">
        <f aca="false">'Dados completos'!M224</f>
        <v>Inglês (ver oferta)</v>
      </c>
      <c r="R49" s="30" t="str">
        <f aca="false">'Dados completos'!AJ224</f>
        <v>Língua-chave PT (exigência 0.3); pede experiência prévia em IB/PE/consultoria, o CV mostrado não tem.</v>
      </c>
      <c r="S49" s="30" t="str">
        <f aca="false">'Dados completos'!AK224</f>
        <v>Via a explorar</v>
      </c>
      <c r="T49" s="24" t="str">
        <f aca="false">'Dados completos'!AP224</f>
        <v>Por confirmar</v>
      </c>
      <c r="U49" s="30" t="str">
        <f aca="false">'Dados completos'!AO224</f>
        <v>Página de carreiras (procurar a vaga)</v>
      </c>
      <c r="V49" s="32" t="str">
        <f aca="false">HYPERLINK('Dados completos'!AN224,"Abrir")</f>
        <v>Abrir</v>
      </c>
    </row>
    <row r="50" customFormat="false" ht="45.75" hidden="false" customHeight="true" outlineLevel="0" collapsed="false">
      <c r="A50" s="24" t="n">
        <f aca="false">'Dados completos'!A225</f>
        <v>222</v>
      </c>
      <c r="B50" s="25" t="str">
        <f aca="false">'Dados completos'!AL225</f>
        <v>Prioridade</v>
      </c>
      <c r="C50" s="24" t="n">
        <f aca="false">'Dados completos'!Y225</f>
        <v>3.5</v>
      </c>
      <c r="D50" s="26" t="n">
        <f aca="false">'Dados completos'!AF225</f>
        <v>65</v>
      </c>
      <c r="E50" s="27" t="n">
        <f aca="false">'Dados completos'!AH225</f>
        <v>0.0354</v>
      </c>
      <c r="F50" s="28" t="str">
        <f aca="false">'Dados completos'!AI225</f>
        <v>Média</v>
      </c>
      <c r="G50" s="29" t="str">
        <f aca="false">'Dados completos'!B225</f>
        <v>Armilar Venture Partners</v>
      </c>
      <c r="H50" s="30" t="str">
        <f aca="false">'Dados completos'!C225</f>
        <v>Candidatura espontânea (venture capital, Lisboa)</v>
      </c>
      <c r="I50" s="30" t="str">
        <f aca="false">'Dados completos'!E225</f>
        <v>VC / private equity</v>
      </c>
      <c r="J50" s="24" t="str">
        <f aca="false">'Dados completos'!F225</f>
        <v>Portugal</v>
      </c>
      <c r="K50" s="30" t="str">
        <f aca="false">'Dados completos'!G225</f>
        <v>Lisboa</v>
      </c>
      <c r="L50" s="30" t="str">
        <f aca="false">'Dados completos'!H225</f>
        <v>Não indicado (provável presencial)</v>
      </c>
      <c r="M50" s="30" t="str">
        <f aca="false">'Dados completos'!I225</f>
        <v>Não indicado</v>
      </c>
      <c r="N50" s="31" t="str">
        <f aca="false">'Dados completos'!O225</f>
        <v>Não indicado</v>
      </c>
      <c r="O50" s="28" t="str">
        <f aca="false">'Dados completos'!V225</f>
        <v>Alta</v>
      </c>
      <c r="P50" s="30" t="str">
        <f aca="false">IF('Dados completos'!R225="","n/d",IF('Dados completos'!R225='Dados completos'!S225,TEXT('Dados completos'!R225,"#,##0"),TEXT('Dados completos'!R225,"#,##0")&amp;", "&amp;TEXT('Dados completos'!S225,"#,##0")))</f>
        <v>1,000, 1,300</v>
      </c>
      <c r="Q50" s="30" t="str">
        <f aca="false">'Dados completos'!M225</f>
        <v>Inglês (ver oferta)</v>
      </c>
      <c r="R50" s="30" t="str">
        <f aca="false">'Dados completos'!AJ225</f>
        <v>Língua-chave PT (exigência 0.3); pede experiência prévia em IB/PE/consultoria, o CV mostrado não tem.</v>
      </c>
      <c r="S50" s="30" t="str">
        <f aca="false">'Dados completos'!AK225</f>
        <v>Via a explorar</v>
      </c>
      <c r="T50" s="24" t="str">
        <f aca="false">'Dados completos'!AP225</f>
        <v>Por confirmar</v>
      </c>
      <c r="U50" s="30" t="str">
        <f aca="false">'Dados completos'!AO225</f>
        <v>Página de carreiras (procurar a vaga)</v>
      </c>
      <c r="V50" s="32" t="str">
        <f aca="false">HYPERLINK('Dados completos'!AN225,"Abrir")</f>
        <v>Abrir</v>
      </c>
    </row>
    <row r="51" customFormat="false" ht="45.75" hidden="false" customHeight="true" outlineLevel="0" collapsed="false">
      <c r="A51" s="24" t="n">
        <f aca="false">'Dados completos'!A226</f>
        <v>223</v>
      </c>
      <c r="B51" s="25" t="str">
        <f aca="false">'Dados completos'!AL226</f>
        <v>Prioridade</v>
      </c>
      <c r="C51" s="24" t="n">
        <f aca="false">'Dados completos'!Y226</f>
        <v>3.5</v>
      </c>
      <c r="D51" s="26" t="n">
        <f aca="false">'Dados completos'!AF226</f>
        <v>65</v>
      </c>
      <c r="E51" s="27" t="n">
        <f aca="false">'Dados completos'!AH226</f>
        <v>0.0354</v>
      </c>
      <c r="F51" s="28" t="str">
        <f aca="false">'Dados completos'!AI226</f>
        <v>Média</v>
      </c>
      <c r="G51" s="29" t="str">
        <f aca="false">'Dados completos'!B226</f>
        <v>Indico Capital Partners</v>
      </c>
      <c r="H51" s="30" t="str">
        <f aca="false">'Dados completos'!C226</f>
        <v>Candidatura espontânea (venture capital, Lisboa)</v>
      </c>
      <c r="I51" s="30" t="str">
        <f aca="false">'Dados completos'!E226</f>
        <v>VC / private equity</v>
      </c>
      <c r="J51" s="24" t="str">
        <f aca="false">'Dados completos'!F226</f>
        <v>Portugal</v>
      </c>
      <c r="K51" s="30" t="str">
        <f aca="false">'Dados completos'!G226</f>
        <v>Lisboa</v>
      </c>
      <c r="L51" s="30" t="str">
        <f aca="false">'Dados completos'!H226</f>
        <v>Não indicado (provável presencial)</v>
      </c>
      <c r="M51" s="30" t="str">
        <f aca="false">'Dados completos'!I226</f>
        <v>Não indicado</v>
      </c>
      <c r="N51" s="31" t="str">
        <f aca="false">'Dados completos'!O226</f>
        <v>Não indicado</v>
      </c>
      <c r="O51" s="28" t="str">
        <f aca="false">'Dados completos'!V226</f>
        <v>Alta</v>
      </c>
      <c r="P51" s="30" t="str">
        <f aca="false">IF('Dados completos'!R226="","n/d",IF('Dados completos'!R226='Dados completos'!S226,TEXT('Dados completos'!R226,"#,##0"),TEXT('Dados completos'!R226,"#,##0")&amp;", "&amp;TEXT('Dados completos'!S226,"#,##0")))</f>
        <v>1,000, 1,300</v>
      </c>
      <c r="Q51" s="30" t="str">
        <f aca="false">'Dados completos'!M226</f>
        <v>Inglês (ver oferta)</v>
      </c>
      <c r="R51" s="30" t="str">
        <f aca="false">'Dados completos'!AJ226</f>
        <v>Língua-chave PT (exigência 0.3); pede experiência prévia em IB/PE/consultoria, o CV mostrado não tem.</v>
      </c>
      <c r="S51" s="30" t="str">
        <f aca="false">'Dados completos'!AK226</f>
        <v>Via a explorar</v>
      </c>
      <c r="T51" s="24" t="str">
        <f aca="false">'Dados completos'!AP226</f>
        <v>Por confirmar</v>
      </c>
      <c r="U51" s="30" t="str">
        <f aca="false">'Dados completos'!AO226</f>
        <v>Página de carreiras (procurar a vaga)</v>
      </c>
      <c r="V51" s="32" t="str">
        <f aca="false">HYPERLINK('Dados completos'!AN226,"Abrir")</f>
        <v>Abrir</v>
      </c>
    </row>
    <row r="52" customFormat="false" ht="45.75" hidden="false" customHeight="true" outlineLevel="0" collapsed="false">
      <c r="A52" s="24" t="n">
        <f aca="false">'Dados completos'!A69</f>
        <v>66</v>
      </c>
      <c r="B52" s="25" t="str">
        <f aca="false">'Dados completos'!AL69</f>
        <v>Reserva</v>
      </c>
      <c r="C52" s="24" t="n">
        <f aca="false">'Dados completos'!Y69</f>
        <v>1.8</v>
      </c>
      <c r="D52" s="26" t="n">
        <f aca="false">'Dados completos'!AF69</f>
        <v>45.55</v>
      </c>
      <c r="E52" s="27" t="n">
        <f aca="false">'Dados completos'!AH69</f>
        <v>0.075728</v>
      </c>
      <c r="F52" s="28" t="str">
        <f aca="false">'Dados completos'!AI69</f>
        <v>Média</v>
      </c>
      <c r="G52" s="29" t="str">
        <f aca="false">'Dados completos'!B69</f>
        <v>Rothschild &amp; Co</v>
      </c>
      <c r="H52" s="30" t="str">
        <f aca="false">'Dados completos'!C69</f>
        <v>Stage Fund Controlling (6 meses), Janvier 2027 (Luxemburgo)</v>
      </c>
      <c r="I52" s="30" t="str">
        <f aca="false">'Dados completos'!E69</f>
        <v>Banca de investimento / boutique</v>
      </c>
      <c r="J52" s="24" t="str">
        <f aca="false">'Dados completos'!F69</f>
        <v>Luxemburgo</v>
      </c>
      <c r="K52" s="30" t="str">
        <f aca="false">'Dados completos'!G69</f>
        <v>Luxemburgo</v>
      </c>
      <c r="L52" s="30" t="str">
        <f aca="false">'Dados completos'!H69</f>
        <v>Não indicado (provável presencial)</v>
      </c>
      <c r="M52" s="30" t="str">
        <f aca="false">'Dados completos'!I69</f>
        <v>Jan 2027</v>
      </c>
      <c r="N52" s="31" t="str">
        <f aca="false">'Dados completos'!O69</f>
        <v>Não indicado</v>
      </c>
      <c r="O52" s="28" t="str">
        <f aca="false">'Dados completos'!V69</f>
        <v>Média-alta</v>
      </c>
      <c r="P52" s="30" t="str">
        <f aca="false">IF('Dados completos'!R69="","n/d",IF('Dados completos'!R69='Dados completos'!S69,TEXT('Dados completos'!R69,"#,##0"),TEXT('Dados completos'!R69,"#,##0")&amp;", "&amp;TEXT('Dados completos'!S69,"#,##0")))</f>
        <v>1,800, 2,500</v>
      </c>
      <c r="Q52" s="30" t="str">
        <f aca="false">'Dados completos'!M69</f>
        <v>Francês e inglês (ver oferta)</v>
      </c>
      <c r="R52" s="30" t="str">
        <f aca="false">'Dados completos'!AJ69</f>
        <v>Língua-chave FR (exigência 0.7); experiência prévia em finanças valorizada, CV tem pouca; exige mestrado em curso ou convenção de estágio, risco.</v>
      </c>
      <c r="S52" s="30" t="str">
        <f aca="false">'Dados completos'!AK69</f>
        <v>Por confirmar</v>
      </c>
      <c r="T52" s="24" t="str">
        <f aca="false">'Dados completos'!AP69</f>
        <v>Parcial (agregador/título)</v>
      </c>
      <c r="U52" s="30" t="str">
        <f aca="false">'Dados completos'!AO69</f>
        <v>Anúncio em plataforma</v>
      </c>
      <c r="V52" s="32" t="str">
        <f aca="false">HYPERLINK('Dados completos'!AN69,"Abrir")</f>
        <v>Abrir</v>
      </c>
    </row>
    <row r="53" customFormat="false" ht="45.75" hidden="false" customHeight="true" outlineLevel="0" collapsed="false">
      <c r="A53" s="24" t="n">
        <f aca="false">'Dados completos'!A70</f>
        <v>67</v>
      </c>
      <c r="B53" s="25" t="str">
        <f aca="false">'Dados completos'!AL70</f>
        <v>Reserva</v>
      </c>
      <c r="C53" s="24" t="n">
        <f aca="false">'Dados completos'!Y70</f>
        <v>1.8</v>
      </c>
      <c r="D53" s="26" t="n">
        <f aca="false">'Dados completos'!AF70</f>
        <v>45.55</v>
      </c>
      <c r="E53" s="27" t="n">
        <f aca="false">'Dados completos'!AH70</f>
        <v>0.075728</v>
      </c>
      <c r="F53" s="28" t="str">
        <f aca="false">'Dados completos'!AI70</f>
        <v>Média</v>
      </c>
      <c r="G53" s="29" t="str">
        <f aca="false">'Dados completos'!B70</f>
        <v>Rothschild &amp; Co</v>
      </c>
      <c r="H53" s="30" t="str">
        <f aca="false">'Dados completos'!C70</f>
        <v>Stage Comptabilité et Reporting (6 meses), Janvier 2027 (Luxemburgo)</v>
      </c>
      <c r="I53" s="30" t="str">
        <f aca="false">'Dados completos'!E70</f>
        <v>Banca de investimento / boutique</v>
      </c>
      <c r="J53" s="24" t="str">
        <f aca="false">'Dados completos'!F70</f>
        <v>Luxemburgo</v>
      </c>
      <c r="K53" s="30" t="str">
        <f aca="false">'Dados completos'!G70</f>
        <v>Luxemburgo</v>
      </c>
      <c r="L53" s="30" t="str">
        <f aca="false">'Dados completos'!H70</f>
        <v>Não indicado (provável presencial)</v>
      </c>
      <c r="M53" s="30" t="str">
        <f aca="false">'Dados completos'!I70</f>
        <v>Jan 2027</v>
      </c>
      <c r="N53" s="31" t="str">
        <f aca="false">'Dados completos'!O70</f>
        <v>Não indicado</v>
      </c>
      <c r="O53" s="28" t="str">
        <f aca="false">'Dados completos'!V70</f>
        <v>Média-alta</v>
      </c>
      <c r="P53" s="30" t="str">
        <f aca="false">IF('Dados completos'!R70="","n/d",IF('Dados completos'!R70='Dados completos'!S70,TEXT('Dados completos'!R70,"#,##0"),TEXT('Dados completos'!R70,"#,##0")&amp;", "&amp;TEXT('Dados completos'!S70,"#,##0")))</f>
        <v>1,800, 2,500</v>
      </c>
      <c r="Q53" s="30" t="str">
        <f aca="false">'Dados completos'!M70</f>
        <v>Francês e inglês (ver oferta)</v>
      </c>
      <c r="R53" s="30" t="str">
        <f aca="false">'Dados completos'!AJ70</f>
        <v>Língua-chave FR (exigência 0.7); experiência prévia em finanças valorizada, CV tem pouca; exige mestrado em curso ou convenção de estágio, risco.</v>
      </c>
      <c r="S53" s="30" t="str">
        <f aca="false">'Dados completos'!AK70</f>
        <v>Por confirmar</v>
      </c>
      <c r="T53" s="24" t="str">
        <f aca="false">'Dados completos'!AP70</f>
        <v>Parcial (agregador/título)</v>
      </c>
      <c r="U53" s="30" t="str">
        <f aca="false">'Dados completos'!AO70</f>
        <v>Direto (site/ATS da empresa)</v>
      </c>
      <c r="V53" s="32" t="str">
        <f aca="false">HYPERLINK('Dados completos'!AN70,"Abrir")</f>
        <v>Abrir</v>
      </c>
    </row>
    <row r="54" customFormat="false" ht="45.75" hidden="false" customHeight="true" outlineLevel="0" collapsed="false">
      <c r="A54" s="24" t="n">
        <f aca="false">'Dados completos'!A23</f>
        <v>20</v>
      </c>
      <c r="B54" s="25" t="str">
        <f aca="false">'Dados completos'!AL23</f>
        <v>Candidatar (reach)</v>
      </c>
      <c r="C54" s="24" t="n">
        <f aca="false">'Dados completos'!Y23</f>
        <v>3.4</v>
      </c>
      <c r="D54" s="26" t="n">
        <f aca="false">'Dados completos'!AF23</f>
        <v>71</v>
      </c>
      <c r="E54" s="27" t="n">
        <f aca="false">'Dados completos'!AH23</f>
        <v>0.03756</v>
      </c>
      <c r="F54" s="28" t="str">
        <f aca="false">'Dados completos'!AI23</f>
        <v>Média</v>
      </c>
      <c r="G54" s="29" t="str">
        <f aca="false">'Dados completos'!B23</f>
        <v>Eurazeo</v>
      </c>
      <c r="H54" s="30" t="str">
        <f aca="false">'Dados completos'!C23</f>
        <v>Internship, Strategy and M&amp;A (Paris, S1 2027)</v>
      </c>
      <c r="I54" s="30" t="str">
        <f aca="false">'Dados completos'!E23</f>
        <v>VC / private equity</v>
      </c>
      <c r="J54" s="24" t="str">
        <f aca="false">'Dados completos'!F23</f>
        <v>França</v>
      </c>
      <c r="K54" s="30" t="str">
        <f aca="false">'Dados completos'!G23</f>
        <v>Paris</v>
      </c>
      <c r="L54" s="30" t="str">
        <f aca="false">'Dados completos'!H23</f>
        <v>Não indicado (provável presencial)</v>
      </c>
      <c r="M54" s="30" t="str">
        <f aca="false">'Dados completos'!I23</f>
        <v>Jan 2027 (ou ASAP)</v>
      </c>
      <c r="N54" s="31" t="str">
        <f aca="false">'Dados completos'!O23</f>
        <v>Aberta até a oferta sair</v>
      </c>
      <c r="O54" s="28" t="str">
        <f aca="false">'Dados completos'!V23</f>
        <v>Alta</v>
      </c>
      <c r="P54" s="30" t="str">
        <f aca="false">IF('Dados completos'!R23="","n/d",IF('Dados completos'!R23='Dados completos'!S23,TEXT('Dados completos'!R23,"#,##0"),TEXT('Dados completos'!R23,"#,##0")&amp;", "&amp;TEXT('Dados completos'!S23,"#,##0")))</f>
        <v>1,500, 2,200</v>
      </c>
      <c r="Q54" s="30" t="str">
        <f aca="false">'Dados completos'!M23</f>
        <v>Inglês (nível alto)</v>
      </c>
      <c r="R54" s="30" t="str">
        <f aca="false">'Dados completos'!AJ23</f>
        <v>Língua-chave EN (exigência 1); não exige experiência prévia em finanças; exige mestrado em curso ou convenção de estágio, risco.</v>
      </c>
      <c r="S54" s="30" t="str">
        <f aca="false">'Dados completos'!AK23</f>
        <v>Aberta (rolling)</v>
      </c>
      <c r="T54" s="24" t="str">
        <f aca="false">'Dados completos'!AP23</f>
        <v>Verificada na página</v>
      </c>
      <c r="U54" s="30" t="str">
        <f aca="false">'Dados completos'!AO23</f>
        <v>Anúncio em plataforma</v>
      </c>
      <c r="V54" s="32" t="str">
        <f aca="false">HYPERLINK('Dados completos'!AN23,"Abrir")</f>
        <v>Abrir</v>
      </c>
    </row>
    <row r="55" customFormat="false" ht="45.75" hidden="false" customHeight="true" outlineLevel="0" collapsed="false">
      <c r="A55" s="24" t="n">
        <f aca="false">'Dados completos'!A227</f>
        <v>224</v>
      </c>
      <c r="B55" s="25" t="str">
        <f aca="false">'Dados completos'!AL227</f>
        <v>Candidatar (reach)</v>
      </c>
      <c r="C55" s="24" t="n">
        <f aca="false">'Dados completos'!Y227</f>
        <v>3.2</v>
      </c>
      <c r="D55" s="26" t="n">
        <f aca="false">'Dados completos'!AF227</f>
        <v>65.5</v>
      </c>
      <c r="E55" s="27" t="n">
        <f aca="false">'Dados completos'!AH227</f>
        <v>0.03558</v>
      </c>
      <c r="F55" s="28" t="str">
        <f aca="false">'Dados completos'!AI227</f>
        <v>Média</v>
      </c>
      <c r="G55" s="29" t="str">
        <f aca="false">'Dados completos'!B227</f>
        <v>Banco Português de Fomento</v>
      </c>
      <c r="H55" s="30" t="str">
        <f aca="false">'Dados completos'!C227</f>
        <v>Bolsa de emprego (investimento, fundos e fomento)</v>
      </c>
      <c r="I55" s="30" t="str">
        <f aca="false">'Dados completos'!E227</f>
        <v>Setor público / instituição</v>
      </c>
      <c r="J55" s="24" t="str">
        <f aca="false">'Dados completos'!F227</f>
        <v>Portugal</v>
      </c>
      <c r="K55" s="30" t="str">
        <f aca="false">'Dados completos'!G227</f>
        <v>Lisboa</v>
      </c>
      <c r="L55" s="30" t="str">
        <f aca="false">'Dados completos'!H227</f>
        <v>Não indicado (provável presencial)</v>
      </c>
      <c r="M55" s="30" t="str">
        <f aca="false">'Dados completos'!I227</f>
        <v>Não indicado</v>
      </c>
      <c r="N55" s="31" t="str">
        <f aca="false">'Dados completos'!O227</f>
        <v>Não indicado</v>
      </c>
      <c r="O55" s="28" t="str">
        <f aca="false">'Dados completos'!V227</f>
        <v>Alta</v>
      </c>
      <c r="P55" s="30" t="str">
        <f aca="false">IF('Dados completos'!R227="","n/d",IF('Dados completos'!R227='Dados completos'!S227,TEXT('Dados completos'!R227,"#,##0"),TEXT('Dados completos'!R227,"#,##0")&amp;", "&amp;TEXT('Dados completos'!S227,"#,##0")))</f>
        <v>1,100, 1,500</v>
      </c>
      <c r="Q55" s="30" t="str">
        <f aca="false">'Dados completos'!M227</f>
        <v>Inglês (ver oferta)</v>
      </c>
      <c r="R55" s="30" t="str">
        <f aca="false">'Dados completos'!AJ227</f>
        <v>Língua-chave PT (exigência 0.3); pede experiência prévia em IB/PE/consultoria, o CV mostrado não tem.</v>
      </c>
      <c r="S55" s="30" t="str">
        <f aca="false">'Dados completos'!AK227</f>
        <v>Via a explorar</v>
      </c>
      <c r="T55" s="24" t="str">
        <f aca="false">'Dados completos'!AP227</f>
        <v>Por confirmar</v>
      </c>
      <c r="U55" s="30" t="str">
        <f aca="false">'Dados completos'!AO227</f>
        <v>Página de carreiras (procurar a vaga)</v>
      </c>
      <c r="V55" s="32" t="str">
        <f aca="false">HYPERLINK('Dados completos'!AN227,"Abrir")</f>
        <v>Abrir</v>
      </c>
    </row>
    <row r="56" customFormat="false" ht="45.75" hidden="false" customHeight="true" outlineLevel="0" collapsed="false">
      <c r="A56" s="24" t="n">
        <f aca="false">'Dados completos'!A24</f>
        <v>21</v>
      </c>
      <c r="B56" s="25" t="str">
        <f aca="false">'Dados completos'!AL24</f>
        <v>Candidatar (reach)</v>
      </c>
      <c r="C56" s="24" t="n">
        <f aca="false">'Dados completos'!Y24</f>
        <v>3.4</v>
      </c>
      <c r="D56" s="26" t="n">
        <f aca="false">'Dados completos'!AF24</f>
        <v>62.5</v>
      </c>
      <c r="E56" s="27" t="n">
        <f aca="false">'Dados completos'!AH24</f>
        <v>0.0345</v>
      </c>
      <c r="F56" s="28" t="str">
        <f aca="false">'Dados completos'!AI24</f>
        <v>Média</v>
      </c>
      <c r="G56" s="29" t="str">
        <f aca="false">'Dados completos'!B24</f>
        <v>Eurazeo</v>
      </c>
      <c r="H56" s="30" t="str">
        <f aca="false">'Dados completos'!C24</f>
        <v>Internship, Private Debt Direct Lending (Paris, S1 2027)</v>
      </c>
      <c r="I56" s="30" t="str">
        <f aca="false">'Dados completos'!E24</f>
        <v>VC / private equity</v>
      </c>
      <c r="J56" s="24" t="str">
        <f aca="false">'Dados completos'!F24</f>
        <v>França</v>
      </c>
      <c r="K56" s="30" t="str">
        <f aca="false">'Dados completos'!G24</f>
        <v>Paris</v>
      </c>
      <c r="L56" s="30" t="str">
        <f aca="false">'Dados completos'!H24</f>
        <v>Não indicado (provável presencial)</v>
      </c>
      <c r="M56" s="30" t="str">
        <f aca="false">'Dados completos'!I24</f>
        <v>Jan 2027 (ou Mar)</v>
      </c>
      <c r="N56" s="31" t="str">
        <f aca="false">'Dados completos'!O24</f>
        <v>Aberta até a oferta sair</v>
      </c>
      <c r="O56" s="28" t="str">
        <f aca="false">'Dados completos'!V24</f>
        <v>Alta</v>
      </c>
      <c r="P56" s="30" t="str">
        <f aca="false">IF('Dados completos'!R24="","n/d",IF('Dados completos'!R24='Dados completos'!S24,TEXT('Dados completos'!R24,"#,##0"),TEXT('Dados completos'!R24,"#,##0")&amp;", "&amp;TEXT('Dados completos'!S24,"#,##0")))</f>
        <v>1,500, 2,200</v>
      </c>
      <c r="Q56" s="30" t="str">
        <f aca="false">'Dados completos'!M24</f>
        <v>Inglês (fluente, obrigatório)</v>
      </c>
      <c r="R56" s="30" t="str">
        <f aca="false">'Dados completos'!AJ24</f>
        <v>Língua-chave EN (exigência 1); experiência prévia em finanças valorizada, CV tem pouca; exige mestrado em curso ou convenção de estágio, risco.</v>
      </c>
      <c r="S56" s="30" t="str">
        <f aca="false">'Dados completos'!AK24</f>
        <v>Aberta (rolling)</v>
      </c>
      <c r="T56" s="24" t="str">
        <f aca="false">'Dados completos'!AP24</f>
        <v>Verificada na página</v>
      </c>
      <c r="U56" s="30" t="str">
        <f aca="false">'Dados completos'!AO24</f>
        <v>Anúncio em plataforma</v>
      </c>
      <c r="V56" s="32" t="str">
        <f aca="false">HYPERLINK('Dados completos'!AN24,"Abrir")</f>
        <v>Abrir</v>
      </c>
    </row>
    <row r="57" customFormat="false" ht="45.75" hidden="false" customHeight="true" outlineLevel="0" collapsed="false">
      <c r="A57" s="24" t="n">
        <f aca="false">'Dados completos'!A130</f>
        <v>127</v>
      </c>
      <c r="B57" s="25" t="str">
        <f aca="false">'Dados completos'!AL130</f>
        <v>Candidatar (reach)</v>
      </c>
      <c r="C57" s="24" t="n">
        <f aca="false">'Dados completos'!Y130</f>
        <v>3.1</v>
      </c>
      <c r="D57" s="26" t="n">
        <f aca="false">'Dados completos'!AF130</f>
        <v>60.5</v>
      </c>
      <c r="E57" s="27" t="n">
        <f aca="false">'Dados completos'!AH130</f>
        <v>0.03378</v>
      </c>
      <c r="F57" s="28" t="str">
        <f aca="false">'Dados completos'!AI130</f>
        <v>Média</v>
      </c>
      <c r="G57" s="29" t="str">
        <f aca="false">'Dados completos'!B130</f>
        <v>Carlsquare</v>
      </c>
      <c r="H57" s="30" t="str">
        <f aca="false">'Dados completos'!C130</f>
        <v>M&amp;A Internship, Q1 2027 (Londres)</v>
      </c>
      <c r="I57" s="30" t="str">
        <f aca="false">'Dados completos'!E130</f>
        <v>Banca de investimento / boutique</v>
      </c>
      <c r="J57" s="24" t="str">
        <f aca="false">'Dados completos'!F130</f>
        <v>Reino Unido</v>
      </c>
      <c r="K57" s="30" t="str">
        <f aca="false">'Dados completos'!G130</f>
        <v>Londres</v>
      </c>
      <c r="L57" s="30" t="str">
        <f aca="false">'Dados completos'!H130</f>
        <v>Não indicado (provável presencial)</v>
      </c>
      <c r="M57" s="30" t="str">
        <f aca="false">'Dados completos'!I130</f>
        <v>Q1 2027</v>
      </c>
      <c r="N57" s="31" t="str">
        <f aca="false">'Dados completos'!O130</f>
        <v>Não indicado</v>
      </c>
      <c r="O57" s="28" t="str">
        <f aca="false">'Dados completos'!V130</f>
        <v>Alta</v>
      </c>
      <c r="P57" s="30" t="str">
        <f aca="false">IF('Dados completos'!R130="","n/d",IF('Dados completos'!R130='Dados completos'!S130,TEXT('Dados completos'!R130,"#,##0"),TEXT('Dados completos'!R130,"#,##0")&amp;", "&amp;TEXT('Dados completos'!S130,"#,##0")))</f>
        <v>2,800, 4,000</v>
      </c>
      <c r="Q57" s="30" t="str">
        <f aca="false">'Dados completos'!M130</f>
        <v>Inglês (ver oferta)</v>
      </c>
      <c r="R57" s="30" t="str">
        <f aca="false">'Dados completos'!AJ130</f>
        <v>Língua-chave EN (exigência 1); experiência prévia em finanças valorizada, CV tem pouca; exige mestrado em curso ou convenção de estágio, risco.</v>
      </c>
      <c r="S57" s="30" t="str">
        <f aca="false">'Dados completos'!AK130</f>
        <v>Por confirmar</v>
      </c>
      <c r="T57" s="24" t="str">
        <f aca="false">'Dados completos'!AP130</f>
        <v>Parcial (agregador/título)</v>
      </c>
      <c r="U57" s="30" t="str">
        <f aca="false">'Dados completos'!AO130</f>
        <v>Direto (site/ATS da empresa)</v>
      </c>
      <c r="V57" s="32" t="str">
        <f aca="false">HYPERLINK('Dados completos'!AN130,"Abrir")</f>
        <v>Abrir</v>
      </c>
    </row>
    <row r="58" customFormat="false" ht="45.75" hidden="false" customHeight="true" outlineLevel="0" collapsed="false">
      <c r="A58" s="24" t="n">
        <f aca="false">'Dados completos'!A131</f>
        <v>128</v>
      </c>
      <c r="B58" s="25" t="str">
        <f aca="false">'Dados completos'!AL131</f>
        <v>Candidatar (reach)</v>
      </c>
      <c r="C58" s="24" t="n">
        <f aca="false">'Dados completos'!Y131</f>
        <v>3.1</v>
      </c>
      <c r="D58" s="26" t="n">
        <f aca="false">'Dados completos'!AF131</f>
        <v>60.5</v>
      </c>
      <c r="E58" s="27" t="n">
        <f aca="false">'Dados completos'!AH131</f>
        <v>0.03378</v>
      </c>
      <c r="F58" s="28" t="str">
        <f aca="false">'Dados completos'!AI131</f>
        <v>Média</v>
      </c>
      <c r="G58" s="29" t="str">
        <f aca="false">'Dados completos'!B131</f>
        <v>Mizuho</v>
      </c>
      <c r="H58" s="30" t="str">
        <f aca="false">'Dados completos'!C131</f>
        <v>Off-Cycle Internship, Investment Banking (Londres)</v>
      </c>
      <c r="I58" s="30" t="str">
        <f aca="false">'Dados completos'!E131</f>
        <v>Banca de investimento</v>
      </c>
      <c r="J58" s="24" t="str">
        <f aca="false">'Dados completos'!F131</f>
        <v>Reino Unido</v>
      </c>
      <c r="K58" s="30" t="str">
        <f aca="false">'Dados completos'!G131</f>
        <v>Londres</v>
      </c>
      <c r="L58" s="30" t="str">
        <f aca="false">'Dados completos'!H131</f>
        <v>Não indicado (provável presencial)</v>
      </c>
      <c r="M58" s="30" t="str">
        <f aca="false">'Dados completos'!I131</f>
        <v>Por confirmar</v>
      </c>
      <c r="N58" s="31" t="str">
        <f aca="false">'Dados completos'!O131</f>
        <v>Não indicado</v>
      </c>
      <c r="O58" s="28" t="str">
        <f aca="false">'Dados completos'!V131</f>
        <v>Alta</v>
      </c>
      <c r="P58" s="30" t="str">
        <f aca="false">IF('Dados completos'!R131="","n/d",IF('Dados completos'!R131='Dados completos'!S131,TEXT('Dados completos'!R131,"#,##0"),TEXT('Dados completos'!R131,"#,##0")&amp;", "&amp;TEXT('Dados completos'!S131,"#,##0")))</f>
        <v>2,800, 4,000</v>
      </c>
      <c r="Q58" s="30" t="str">
        <f aca="false">'Dados completos'!M131</f>
        <v>Inglês (ver oferta)</v>
      </c>
      <c r="R58" s="30" t="str">
        <f aca="false">'Dados completos'!AJ131</f>
        <v>Língua-chave EN (exigência 1); experiência prévia em finanças valorizada, CV tem pouca; exige mestrado em curso ou convenção de estágio, risco.</v>
      </c>
      <c r="S58" s="30" t="str">
        <f aca="false">'Dados completos'!AK131</f>
        <v>Por confirmar</v>
      </c>
      <c r="T58" s="24" t="str">
        <f aca="false">'Dados completos'!AP131</f>
        <v>Parcial (agregador/título)</v>
      </c>
      <c r="U58" s="30" t="str">
        <f aca="false">'Dados completos'!AO131</f>
        <v>Página de carreiras (procurar a vaga)</v>
      </c>
      <c r="V58" s="32" t="str">
        <f aca="false">HYPERLINK('Dados completos'!AN131,"Abrir")</f>
        <v>Abrir</v>
      </c>
    </row>
    <row r="59" customFormat="false" ht="45.75" hidden="false" customHeight="true" outlineLevel="0" collapsed="false">
      <c r="A59" s="24" t="n">
        <f aca="false">'Dados completos'!A157</f>
        <v>154</v>
      </c>
      <c r="B59" s="25" t="str">
        <f aca="false">'Dados completos'!AL157</f>
        <v>Candidatar (reach)</v>
      </c>
      <c r="C59" s="24" t="n">
        <f aca="false">'Dados completos'!Y157</f>
        <v>3</v>
      </c>
      <c r="D59" s="26" t="n">
        <f aca="false">'Dados completos'!AF157</f>
        <v>58</v>
      </c>
      <c r="E59" s="27" t="n">
        <f aca="false">'Dados completos'!AH157</f>
        <v>0.03288</v>
      </c>
      <c r="F59" s="28" t="str">
        <f aca="false">'Dados completos'!AI157</f>
        <v>Média</v>
      </c>
      <c r="G59" s="29" t="str">
        <f aca="false">'Dados completos'!B157</f>
        <v>Eurazeo</v>
      </c>
      <c r="H59" s="30" t="str">
        <f aca="false">'Dados completos'!C157</f>
        <v>Internship, Infrastructure (Paris, S1 2027)</v>
      </c>
      <c r="I59" s="30" t="str">
        <f aca="false">'Dados completos'!E157</f>
        <v>VC / private equity</v>
      </c>
      <c r="J59" s="24" t="str">
        <f aca="false">'Dados completos'!F157</f>
        <v>França</v>
      </c>
      <c r="K59" s="30" t="str">
        <f aca="false">'Dados completos'!G157</f>
        <v>Paris</v>
      </c>
      <c r="L59" s="30" t="str">
        <f aca="false">'Dados completos'!H157</f>
        <v>Não indicado (provável presencial)</v>
      </c>
      <c r="M59" s="30" t="str">
        <f aca="false">'Dados completos'!I157</f>
        <v>Jan 2027 (S1)</v>
      </c>
      <c r="N59" s="31" t="str">
        <f aca="false">'Dados completos'!O157</f>
        <v>Não indicado</v>
      </c>
      <c r="O59" s="28" t="str">
        <f aca="false">'Dados completos'!V157</f>
        <v>Alta</v>
      </c>
      <c r="P59" s="30" t="str">
        <f aca="false">IF('Dados completos'!R157="","n/d",IF('Dados completos'!R157='Dados completos'!S157,TEXT('Dados completos'!R157,"#,##0"),TEXT('Dados completos'!R157,"#,##0")&amp;", "&amp;TEXT('Dados completos'!S157,"#,##0")))</f>
        <v>1,500, 2,500</v>
      </c>
      <c r="Q59" s="30" t="str">
        <f aca="false">'Dados completos'!M157</f>
        <v>Inglês (ver oferta)</v>
      </c>
      <c r="R59" s="30" t="str">
        <f aca="false">'Dados completos'!AJ157</f>
        <v>Língua-chave EN (exigência 1); experiência prévia em finanças valorizada, CV tem pouca; exige mestrado em curso ou convenção de estágio, risco.</v>
      </c>
      <c r="S59" s="30" t="str">
        <f aca="false">'Dados completos'!AK157</f>
        <v>Por confirmar</v>
      </c>
      <c r="T59" s="24" t="str">
        <f aca="false">'Dados completos'!AP157</f>
        <v>Parcial (agregador/título)</v>
      </c>
      <c r="U59" s="30" t="str">
        <f aca="false">'Dados completos'!AO157</f>
        <v>Anúncio em plataforma</v>
      </c>
      <c r="V59" s="32" t="str">
        <f aca="false">HYPERLINK('Dados completos'!AN157,"Abrir")</f>
        <v>Abrir</v>
      </c>
    </row>
    <row r="60" customFormat="false" ht="45.75" hidden="false" customHeight="true" outlineLevel="0" collapsed="false">
      <c r="A60" s="24" t="n">
        <f aca="false">'Dados completos'!A160</f>
        <v>157</v>
      </c>
      <c r="B60" s="25" t="str">
        <f aca="false">'Dados completos'!AL160</f>
        <v>Candidatar (reach)</v>
      </c>
      <c r="C60" s="24" t="n">
        <f aca="false">'Dados completos'!Y160</f>
        <v>3</v>
      </c>
      <c r="D60" s="26" t="n">
        <f aca="false">'Dados completos'!AF160</f>
        <v>58</v>
      </c>
      <c r="E60" s="27" t="n">
        <f aca="false">'Dados completos'!AH160</f>
        <v>0.03288</v>
      </c>
      <c r="F60" s="28" t="str">
        <f aca="false">'Dados completos'!AI160</f>
        <v>Média</v>
      </c>
      <c r="G60" s="29" t="str">
        <f aca="false">'Dados completos'!B160</f>
        <v>Eurazeo</v>
      </c>
      <c r="H60" s="30" t="str">
        <f aca="false">'Dados completos'!C160</f>
        <v>Stage, Real Estate (Paris, S1 2027)</v>
      </c>
      <c r="I60" s="30" t="str">
        <f aca="false">'Dados completos'!E160</f>
        <v>VC / private equity</v>
      </c>
      <c r="J60" s="24" t="str">
        <f aca="false">'Dados completos'!F160</f>
        <v>França</v>
      </c>
      <c r="K60" s="30" t="str">
        <f aca="false">'Dados completos'!G160</f>
        <v>Paris</v>
      </c>
      <c r="L60" s="30" t="str">
        <f aca="false">'Dados completos'!H160</f>
        <v>Não indicado (provável presencial)</v>
      </c>
      <c r="M60" s="30" t="str">
        <f aca="false">'Dados completos'!I160</f>
        <v>Jan 2027 (S1)</v>
      </c>
      <c r="N60" s="31" t="str">
        <f aca="false">'Dados completos'!O160</f>
        <v>Não indicado</v>
      </c>
      <c r="O60" s="28" t="str">
        <f aca="false">'Dados completos'!V160</f>
        <v>Alta</v>
      </c>
      <c r="P60" s="30" t="str">
        <f aca="false">IF('Dados completos'!R160="","n/d",IF('Dados completos'!R160='Dados completos'!S160,TEXT('Dados completos'!R160,"#,##0"),TEXT('Dados completos'!R160,"#,##0")&amp;", "&amp;TEXT('Dados completos'!S160,"#,##0")))</f>
        <v>1,500, 2,500</v>
      </c>
      <c r="Q60" s="30" t="str">
        <f aca="false">'Dados completos'!M160</f>
        <v>Inglês (ver oferta)</v>
      </c>
      <c r="R60" s="30" t="str">
        <f aca="false">'Dados completos'!AJ160</f>
        <v>Língua-chave EN (exigência 1); experiência prévia em finanças valorizada, CV tem pouca; exige mestrado em curso ou convenção de estágio, risco.</v>
      </c>
      <c r="S60" s="30" t="str">
        <f aca="false">'Dados completos'!AK160</f>
        <v>Por confirmar</v>
      </c>
      <c r="T60" s="24" t="str">
        <f aca="false">'Dados completos'!AP160</f>
        <v>Parcial (agregador/título)</v>
      </c>
      <c r="U60" s="30" t="str">
        <f aca="false">'Dados completos'!AO160</f>
        <v>Anúncio em plataforma</v>
      </c>
      <c r="V60" s="32" t="str">
        <f aca="false">HYPERLINK('Dados completos'!AN160,"Abrir")</f>
        <v>Abrir</v>
      </c>
    </row>
    <row r="61" customFormat="false" ht="45.75" hidden="false" customHeight="true" outlineLevel="0" collapsed="false">
      <c r="A61" s="24" t="n">
        <f aca="false">'Dados completos'!A165</f>
        <v>162</v>
      </c>
      <c r="B61" s="25" t="str">
        <f aca="false">'Dados completos'!AL165</f>
        <v>Candidatar (reach)</v>
      </c>
      <c r="C61" s="24" t="n">
        <f aca="false">'Dados completos'!Y165</f>
        <v>3</v>
      </c>
      <c r="D61" s="26" t="n">
        <f aca="false">'Dados completos'!AF165</f>
        <v>86.5</v>
      </c>
      <c r="E61" s="27" t="n">
        <f aca="false">'Dados completos'!AH165</f>
        <v>0.04314</v>
      </c>
      <c r="F61" s="28" t="str">
        <f aca="false">'Dados completos'!AI165</f>
        <v>Média</v>
      </c>
      <c r="G61" s="29" t="str">
        <f aca="false">'Dados completos'!B165</f>
        <v>Mastercard</v>
      </c>
      <c r="H61" s="30" t="str">
        <f aca="false">'Dados completos'!C165</f>
        <v>Global Markets, Graduate Launch Program 2027 (Lisboa)</v>
      </c>
      <c r="I61" s="30" t="str">
        <f aca="false">'Dados completos'!E165</f>
        <v>Big corporate</v>
      </c>
      <c r="J61" s="24" t="str">
        <f aca="false">'Dados completos'!F165</f>
        <v>Portugal</v>
      </c>
      <c r="K61" s="30" t="str">
        <f aca="false">'Dados completos'!G165</f>
        <v>Lisboa</v>
      </c>
      <c r="L61" s="30" t="str">
        <f aca="false">'Dados completos'!H165</f>
        <v>Não indicado (provável presencial)</v>
      </c>
      <c r="M61" s="30" t="str">
        <f aca="false">'Dados completos'!I165</f>
        <v>2027</v>
      </c>
      <c r="N61" s="31" t="n">
        <f aca="false">'Dados completos'!O165</f>
        <v>46320</v>
      </c>
      <c r="O61" s="28" t="str">
        <f aca="false">'Dados completos'!V165</f>
        <v>Alta</v>
      </c>
      <c r="P61" s="30" t="str">
        <f aca="false">IF('Dados completos'!R165="","n/d",IF('Dados completos'!R165='Dados completos'!S165,TEXT('Dados completos'!R165,"#,##0"),TEXT('Dados completos'!R165,"#,##0")&amp;", "&amp;TEXT('Dados completos'!S165,"#,##0")))</f>
        <v>1,000, 1,400</v>
      </c>
      <c r="Q61" s="30" t="str">
        <f aca="false">'Dados completos'!M165</f>
        <v>Inglês (ver oferta)</v>
      </c>
      <c r="R61" s="30" t="str">
        <f aca="false">'Dados completos'!AJ165</f>
        <v>Língua-chave EN (exigência 1); não exige experiência prévia em finanças; aceita recém-licenciadas.</v>
      </c>
      <c r="S61" s="30" t="str">
        <f aca="false">'Dados completos'!AK165</f>
        <v>Aberta, prazo definido</v>
      </c>
      <c r="T61" s="24" t="str">
        <f aca="false">'Dados completos'!AP165</f>
        <v>Parcial (agregador/título)</v>
      </c>
      <c r="U61" s="30" t="str">
        <f aca="false">'Dados completos'!AO165</f>
        <v>Direto (site/ATS da empresa)</v>
      </c>
      <c r="V61" s="32" t="str">
        <f aca="false">HYPERLINK('Dados completos'!AN165,"Abrir")</f>
        <v>Abrir</v>
      </c>
    </row>
    <row r="62" customFormat="false" ht="45.75" hidden="false" customHeight="true" outlineLevel="0" collapsed="false">
      <c r="A62" s="24" t="n">
        <f aca="false">'Dados completos'!A5</f>
        <v>2</v>
      </c>
      <c r="B62" s="25" t="str">
        <f aca="false">'Dados completos'!AL5</f>
        <v>Candidatar (reach)</v>
      </c>
      <c r="C62" s="24" t="n">
        <f aca="false">'Dados completos'!Y5</f>
        <v>3.2</v>
      </c>
      <c r="D62" s="26" t="n">
        <f aca="false">'Dados completos'!AF5</f>
        <v>54.5</v>
      </c>
      <c r="E62" s="27" t="n">
        <f aca="false">'Dados completos'!AH5</f>
        <v>0.03162</v>
      </c>
      <c r="F62" s="28" t="str">
        <f aca="false">'Dados completos'!AI5</f>
        <v>Média</v>
      </c>
      <c r="G62" s="29" t="str">
        <f aca="false">'Dados completos'!B5</f>
        <v>Rothschild &amp; Co</v>
      </c>
      <c r="H62" s="30" t="str">
        <f aca="false">'Dados completos'!C5</f>
        <v>Global Advisory Spain, Madrid Long Term Internship</v>
      </c>
      <c r="I62" s="30" t="str">
        <f aca="false">'Dados completos'!E5</f>
        <v>Banca de investimento / boutique</v>
      </c>
      <c r="J62" s="24" t="str">
        <f aca="false">'Dados completos'!F5</f>
        <v>Espanha</v>
      </c>
      <c r="K62" s="30" t="str">
        <f aca="false">'Dados completos'!G5</f>
        <v>Madrid</v>
      </c>
      <c r="L62" s="30" t="str">
        <f aca="false">'Dados completos'!H5</f>
        <v>Não indicado (provável presencial)</v>
      </c>
      <c r="M62" s="30" t="str">
        <f aca="false">'Dados completos'!I5</f>
        <v>Jan ou Jul 2027 (a indicar na candidatura)</v>
      </c>
      <c r="N62" s="31" t="str">
        <f aca="false">'Dados completos'!O5</f>
        <v>Não indicado</v>
      </c>
      <c r="O62" s="28" t="str">
        <f aca="false">'Dados completos'!V5</f>
        <v>Alta</v>
      </c>
      <c r="P62" s="30" t="str">
        <f aca="false">IF('Dados completos'!R5="","n/d",IF('Dados completos'!R5='Dados completos'!S5,TEXT('Dados completos'!R5,"#,##0"),TEXT('Dados completos'!R5,"#,##0")&amp;", "&amp;TEXT('Dados completos'!S5,"#,##0")))</f>
        <v>1,000, 1,800</v>
      </c>
      <c r="Q62" s="30" t="str">
        <f aca="false">'Dados completos'!M5</f>
        <v>Espanhol e inglês (nível alto)</v>
      </c>
      <c r="R62" s="30" t="str">
        <f aca="false">'Dados completos'!AJ5</f>
        <v>Língua-chave ES (exigência 1); experiência prévia em finanças valorizada, CV tem pouca.</v>
      </c>
      <c r="S62" s="30" t="str">
        <f aca="false">'Dados completos'!AK5</f>
        <v>Aberta (prazo não indicado)</v>
      </c>
      <c r="T62" s="24" t="str">
        <f aca="false">'Dados completos'!AP5</f>
        <v>Verificada na página</v>
      </c>
      <c r="U62" s="30" t="str">
        <f aca="false">'Dados completos'!AO5</f>
        <v>Direto (site/ATS da empresa)</v>
      </c>
      <c r="V62" s="32" t="str">
        <f aca="false">HYPERLINK('Dados completos'!AN5,"Abrir")</f>
        <v>Abrir</v>
      </c>
    </row>
    <row r="63" customFormat="false" ht="45.75" hidden="false" customHeight="true" outlineLevel="0" collapsed="false">
      <c r="A63" s="24" t="n">
        <f aca="false">'Dados completos'!A92</f>
        <v>89</v>
      </c>
      <c r="B63" s="25" t="str">
        <f aca="false">'Dados completos'!AL92</f>
        <v>Candidatar (reach)</v>
      </c>
      <c r="C63" s="24" t="n">
        <f aca="false">'Dados completos'!Y92</f>
        <v>3</v>
      </c>
      <c r="D63" s="26" t="n">
        <f aca="false">'Dados completos'!AF92</f>
        <v>53.6</v>
      </c>
      <c r="E63" s="27" t="n">
        <f aca="false">'Dados completos'!AH92</f>
        <v>0.031296</v>
      </c>
      <c r="F63" s="28" t="str">
        <f aca="false">'Dados completos'!AI92</f>
        <v>Média</v>
      </c>
      <c r="G63" s="29" t="str">
        <f aca="false">'Dados completos'!B92</f>
        <v>PGIM Private Capital</v>
      </c>
      <c r="H63" s="30" t="str">
        <f aca="false">'Dados completos'!C92</f>
        <v>Intern, Real Estate Private Equity Portfolio Management (Q1 2027, Frankfurt)</v>
      </c>
      <c r="I63" s="30" t="str">
        <f aca="false">'Dados completos'!E92</f>
        <v>VC / private equity</v>
      </c>
      <c r="J63" s="24" t="str">
        <f aca="false">'Dados completos'!F92</f>
        <v>Alemanha</v>
      </c>
      <c r="K63" s="30" t="str">
        <f aca="false">'Dados completos'!G92</f>
        <v>Frankfurt</v>
      </c>
      <c r="L63" s="30" t="str">
        <f aca="false">'Dados completos'!H92</f>
        <v>Não indicado (provável presencial)</v>
      </c>
      <c r="M63" s="30" t="str">
        <f aca="false">'Dados completos'!I92</f>
        <v>Q1 2027</v>
      </c>
      <c r="N63" s="31" t="str">
        <f aca="false">'Dados completos'!O92</f>
        <v>Não indicado</v>
      </c>
      <c r="O63" s="28" t="str">
        <f aca="false">'Dados completos'!V92</f>
        <v>Alta</v>
      </c>
      <c r="P63" s="30" t="str">
        <f aca="false">IF('Dados completos'!R92="","n/d",IF('Dados completos'!R92='Dados completos'!S92,TEXT('Dados completos'!R92,"#,##0"),TEXT('Dados completos'!R92,"#,##0")&amp;", "&amp;TEXT('Dados completos'!S92,"#,##0")))</f>
        <v>1,800, 2,800</v>
      </c>
      <c r="Q63" s="30" t="str">
        <f aca="false">'Dados completos'!M92</f>
        <v>Inglês (ver oferta)</v>
      </c>
      <c r="R63" s="30" t="str">
        <f aca="false">'Dados completos'!AJ92</f>
        <v>Língua-chave DE (exigência 0.4); experiência prévia em finanças valorizada, CV tem pouca; exige mestrado em curso ou convenção de estágio, risco.</v>
      </c>
      <c r="S63" s="30" t="str">
        <f aca="false">'Dados completos'!AK92</f>
        <v>Por confirmar</v>
      </c>
      <c r="T63" s="24" t="str">
        <f aca="false">'Dados completos'!AP92</f>
        <v>Parcial (agregador/título)</v>
      </c>
      <c r="U63" s="30" t="str">
        <f aca="false">'Dados completos'!AO92</f>
        <v>Direto (site/ATS da empresa)</v>
      </c>
      <c r="V63" s="32" t="str">
        <f aca="false">HYPERLINK('Dados completos'!AN92,"Abrir")</f>
        <v>Abrir</v>
      </c>
    </row>
    <row r="64" customFormat="false" ht="45.75" hidden="false" customHeight="true" outlineLevel="0" collapsed="false">
      <c r="A64" s="24" t="n">
        <f aca="false">'Dados completos'!A25</f>
        <v>22</v>
      </c>
      <c r="B64" s="25" t="str">
        <f aca="false">'Dados completos'!AL25</f>
        <v>Reserva</v>
      </c>
      <c r="C64" s="24" t="n">
        <f aca="false">'Dados completos'!Y25</f>
        <v>2.8</v>
      </c>
      <c r="D64" s="26" t="n">
        <f aca="false">'Dados completos'!AF25</f>
        <v>82.5</v>
      </c>
      <c r="E64" s="27" t="n">
        <f aca="false">'Dados completos'!AH25</f>
        <v>0.0417</v>
      </c>
      <c r="F64" s="28" t="str">
        <f aca="false">'Dados completos'!AI25</f>
        <v>Média</v>
      </c>
      <c r="G64" s="29" t="str">
        <f aca="false">'Dados completos'!B25</f>
        <v>European Investment Bank (EIB)</v>
      </c>
      <c r="H64" s="30" t="str">
        <f aca="false">'Dados completos'!C25</f>
        <v>Traineeship Programme (sessão março-abril 2027)</v>
      </c>
      <c r="I64" s="30" t="str">
        <f aca="false">'Dados completos'!E25</f>
        <v>Setor público / instituição</v>
      </c>
      <c r="J64" s="24" t="str">
        <f aca="false">'Dados completos'!F25</f>
        <v>Luxemburgo</v>
      </c>
      <c r="K64" s="30" t="str">
        <f aca="false">'Dados completos'!G25</f>
        <v>Luxemburgo</v>
      </c>
      <c r="L64" s="30" t="str">
        <f aca="false">'Dados completos'!H25</f>
        <v>Não indicado (provável presencial)</v>
      </c>
      <c r="M64" s="30" t="str">
        <f aca="false">'Dados completos'!I25</f>
        <v>Mar-Abr 2027 (não é janeiro)</v>
      </c>
      <c r="N64" s="31" t="str">
        <f aca="false">'Dados completos'!O25</f>
        <v>Vagas anunciadas ~4 meses antes (novembro)</v>
      </c>
      <c r="O64" s="28" t="str">
        <f aca="false">'Dados completos'!V25</f>
        <v>Alta</v>
      </c>
      <c r="P64" s="30" t="str">
        <f aca="false">IF('Dados completos'!R25="","n/d",IF('Dados completos'!R25='Dados completos'!S25,TEXT('Dados completos'!R25,"#,##0"),TEXT('Dados completos'!R25,"#,##0")&amp;", "&amp;TEXT('Dados completos'!S25,"#,##0")))</f>
        <v>1,500</v>
      </c>
      <c r="Q64" s="30" t="str">
        <f aca="false">'Dados completos'!M25</f>
        <v>Inglês e/ou francês</v>
      </c>
      <c r="R64" s="30" t="str">
        <f aca="false">'Dados completos'!AJ25</f>
        <v>Língua-chave EN (exigência 1); não exige experiência prévia em finanças; aceita recém-licenciadas.</v>
      </c>
      <c r="S64" s="30" t="str">
        <f aca="false">'Dados completos'!AK25</f>
        <v>Por confirmar</v>
      </c>
      <c r="T64" s="24" t="str">
        <f aca="false">'Dados completos'!AP25</f>
        <v>Verificada na página</v>
      </c>
      <c r="U64" s="30" t="str">
        <f aca="false">'Dados completos'!AO25</f>
        <v>Página de carreiras (procurar a vaga)</v>
      </c>
      <c r="V64" s="32" t="str">
        <f aca="false">HYPERLINK('Dados completos'!AN25,"Abrir")</f>
        <v>Abrir</v>
      </c>
    </row>
    <row r="65" customFormat="false" ht="45.75" hidden="false" customHeight="true" outlineLevel="0" collapsed="false">
      <c r="A65" s="24" t="n">
        <f aca="false">'Dados completos'!A155</f>
        <v>152</v>
      </c>
      <c r="B65" s="25" t="str">
        <f aca="false">'Dados completos'!AL155</f>
        <v>Candidatar (reach)</v>
      </c>
      <c r="C65" s="24" t="n">
        <f aca="false">'Dados completos'!Y155</f>
        <v>3</v>
      </c>
      <c r="D65" s="26" t="n">
        <f aca="false">'Dados completos'!AF155</f>
        <v>52.75</v>
      </c>
      <c r="E65" s="27" t="n">
        <f aca="false">'Dados completos'!AH155</f>
        <v>0.03099</v>
      </c>
      <c r="F65" s="28" t="str">
        <f aca="false">'Dados completos'!AI155</f>
        <v>Média</v>
      </c>
      <c r="G65" s="29" t="str">
        <f aca="false">'Dados completos'!B155</f>
        <v>Alantra</v>
      </c>
      <c r="H65" s="30" t="str">
        <f aca="false">'Dados completos'!C155</f>
        <v>IB Q1 2027 M&amp;A Intern (Frankfurt)</v>
      </c>
      <c r="I65" s="30" t="str">
        <f aca="false">'Dados completos'!E155</f>
        <v>Banca de investimento / boutique</v>
      </c>
      <c r="J65" s="24" t="str">
        <f aca="false">'Dados completos'!F155</f>
        <v>Alemanha</v>
      </c>
      <c r="K65" s="30" t="str">
        <f aca="false">'Dados completos'!G155</f>
        <v>Frankfurt</v>
      </c>
      <c r="L65" s="30" t="str">
        <f aca="false">'Dados completos'!H155</f>
        <v>Não indicado (provável presencial)</v>
      </c>
      <c r="M65" s="30" t="str">
        <f aca="false">'Dados completos'!I155</f>
        <v>Q1 2027</v>
      </c>
      <c r="N65" s="31" t="str">
        <f aca="false">'Dados completos'!O155</f>
        <v>Não indicado</v>
      </c>
      <c r="O65" s="28" t="str">
        <f aca="false">'Dados completos'!V155</f>
        <v>Alta</v>
      </c>
      <c r="P65" s="30" t="str">
        <f aca="false">IF('Dados completos'!R155="","n/d",IF('Dados completos'!R155='Dados completos'!S155,TEXT('Dados completos'!R155,"#,##0"),TEXT('Dados completos'!R155,"#,##0")&amp;", "&amp;TEXT('Dados completos'!S155,"#,##0")))</f>
        <v>1,800, 2,800</v>
      </c>
      <c r="Q65" s="30" t="str">
        <f aca="false">'Dados completos'!M155</f>
        <v>Alemão e inglês (ver oferta)</v>
      </c>
      <c r="R65" s="30" t="str">
        <f aca="false">'Dados completos'!AJ155</f>
        <v>Língua-chave DE (exigência 0.5); experiência prévia em finanças valorizada, CV tem pouca.</v>
      </c>
      <c r="S65" s="30" t="str">
        <f aca="false">'Dados completos'!AK155</f>
        <v>Por confirmar</v>
      </c>
      <c r="T65" s="24" t="str">
        <f aca="false">'Dados completos'!AP155</f>
        <v>Parcial (agregador/título)</v>
      </c>
      <c r="U65" s="30" t="str">
        <f aca="false">'Dados completos'!AO155</f>
        <v>Direto (site/ATS da empresa)</v>
      </c>
      <c r="V65" s="32" t="str">
        <f aca="false">HYPERLINK('Dados completos'!AN155,"Abrir")</f>
        <v>Abrir</v>
      </c>
    </row>
    <row r="66" customFormat="false" ht="45.75" hidden="false" customHeight="true" outlineLevel="0" collapsed="false">
      <c r="A66" s="24" t="n">
        <f aca="false">'Dados completos'!A11</f>
        <v>8</v>
      </c>
      <c r="B66" s="25" t="str">
        <f aca="false">'Dados completos'!AL11</f>
        <v>Candidatar (reach)</v>
      </c>
      <c r="C66" s="24" t="n">
        <f aca="false">'Dados completos'!Y11</f>
        <v>3.2</v>
      </c>
      <c r="D66" s="26" t="n">
        <f aca="false">'Dados completos'!AF11</f>
        <v>52</v>
      </c>
      <c r="E66" s="27" t="n">
        <f aca="false">'Dados completos'!AH11</f>
        <v>0.03072</v>
      </c>
      <c r="F66" s="28" t="str">
        <f aca="false">'Dados completos'!AI11</f>
        <v>Média</v>
      </c>
      <c r="G66" s="29" t="str">
        <f aca="false">'Dados completos'!B11</f>
        <v>Alantra</v>
      </c>
      <c r="H66" s="30" t="str">
        <f aca="false">'Dados completos'!C11</f>
        <v>Investment Banking Off-Cycle Internship Programme, January 2027</v>
      </c>
      <c r="I66" s="30" t="str">
        <f aca="false">'Dados completos'!E11</f>
        <v>Banca de investimento / boutique</v>
      </c>
      <c r="J66" s="24" t="str">
        <f aca="false">'Dados completos'!F11</f>
        <v>Espanha</v>
      </c>
      <c r="K66" s="30" t="str">
        <f aca="false">'Dados completos'!G11</f>
        <v>Madrid</v>
      </c>
      <c r="L66" s="30" t="str">
        <f aca="false">'Dados completos'!H11</f>
        <v>Não indicado (provável presencial)</v>
      </c>
      <c r="M66" s="30" t="str">
        <f aca="false">'Dados completos'!I11</f>
        <v>Jan 2027</v>
      </c>
      <c r="N66" s="31" t="str">
        <f aca="false">'Dados completos'!O11</f>
        <v>Não indicado</v>
      </c>
      <c r="O66" s="28" t="str">
        <f aca="false">'Dados completos'!V11</f>
        <v>Alta</v>
      </c>
      <c r="P66" s="30" t="str">
        <f aca="false">IF('Dados completos'!R11="","n/d",IF('Dados completos'!R11='Dados completos'!S11,TEXT('Dados completos'!R11,"#,##0"),TEXT('Dados completos'!R11,"#,##0")&amp;", "&amp;TEXT('Dados completos'!S11,"#,##0")))</f>
        <v>1,000, 1,800</v>
      </c>
      <c r="Q66" s="30" t="str">
        <f aca="false">'Dados completos'!M11</f>
        <v>Inglês e espanhol (bilingue/quase nativo)</v>
      </c>
      <c r="R66" s="30" t="str">
        <f aca="false">'Dados completos'!AJ11</f>
        <v>Língua-chave ES (exigência 1); pede experiência prévia em IB/PE/consultoria, o CV mostrado não tem; aceita recém-licenciadas.</v>
      </c>
      <c r="S66" s="30" t="str">
        <f aca="false">'Dados completos'!AK11</f>
        <v>Aberta (prazo não indicado)</v>
      </c>
      <c r="T66" s="24" t="str">
        <f aca="false">'Dados completos'!AP11</f>
        <v>Verificada na página</v>
      </c>
      <c r="U66" s="30" t="str">
        <f aca="false">'Dados completos'!AO11</f>
        <v>Direto (site/ATS da empresa)</v>
      </c>
      <c r="V66" s="32" t="str">
        <f aca="false">HYPERLINK('Dados completos'!AN11,"Abrir")</f>
        <v>Abrir</v>
      </c>
    </row>
    <row r="67" customFormat="false" ht="45.75" hidden="false" customHeight="true" outlineLevel="0" collapsed="false">
      <c r="A67" s="24" t="n">
        <f aca="false">'Dados completos'!A175</f>
        <v>172</v>
      </c>
      <c r="B67" s="25" t="str">
        <f aca="false">'Dados completos'!AL175</f>
        <v>Reserva</v>
      </c>
      <c r="C67" s="24" t="n">
        <f aca="false">'Dados completos'!Y175</f>
        <v>2.8</v>
      </c>
      <c r="D67" s="26" t="n">
        <f aca="false">'Dados completos'!AF175</f>
        <v>63.5</v>
      </c>
      <c r="E67" s="27" t="n">
        <f aca="false">'Dados completos'!AH175</f>
        <v>0.03486</v>
      </c>
      <c r="F67" s="28" t="str">
        <f aca="false">'Dados completos'!AI175</f>
        <v>Média</v>
      </c>
      <c r="G67" s="29" t="str">
        <f aca="false">'Dados completos'!B175</f>
        <v>Bankinter Portugal</v>
      </c>
      <c r="H67" s="30" t="str">
        <f aca="false">'Dados completos'!C175</f>
        <v>Analista Financeiro, Desenvolvimento de Negócio, Banca Digital e Meios de Pagamento</v>
      </c>
      <c r="I67" s="30" t="str">
        <f aca="false">'Dados completos'!E175</f>
        <v>Banca comercial</v>
      </c>
      <c r="J67" s="24" t="str">
        <f aca="false">'Dados completos'!F175</f>
        <v>Portugal</v>
      </c>
      <c r="K67" s="30" t="str">
        <f aca="false">'Dados completos'!G175</f>
        <v>Lisboa</v>
      </c>
      <c r="L67" s="30" t="str">
        <f aca="false">'Dados completos'!H175</f>
        <v>Não indicado (provável presencial)</v>
      </c>
      <c r="M67" s="30" t="str">
        <f aca="false">'Dados completos'!I175</f>
        <v>Não indicado</v>
      </c>
      <c r="N67" s="31" t="str">
        <f aca="false">'Dados completos'!O175</f>
        <v>Não indicado</v>
      </c>
      <c r="O67" s="28" t="str">
        <f aca="false">'Dados completos'!V175</f>
        <v>Alta</v>
      </c>
      <c r="P67" s="30" t="str">
        <f aca="false">IF('Dados completos'!R175="","n/d",IF('Dados completos'!R175='Dados completos'!S175,TEXT('Dados completos'!R175,"#,##0"),TEXT('Dados completos'!R175,"#,##0")&amp;", "&amp;TEXT('Dados completos'!S175,"#,##0")))</f>
        <v>1,500, 2,000</v>
      </c>
      <c r="Q67" s="30" t="str">
        <f aca="false">'Dados completos'!M175</f>
        <v>Inglês (ver oferta)</v>
      </c>
      <c r="R67" s="30" t="str">
        <f aca="false">'Dados completos'!AJ175</f>
        <v>Língua-chave PT (exigência 0.3); experiência prévia em finanças valorizada, CV tem pouca; exige mestrado em curso ou convenção de estágio, risco.</v>
      </c>
      <c r="S67" s="30" t="str">
        <f aca="false">'Dados completos'!AK175</f>
        <v>Aberta (prazo não indicado)</v>
      </c>
      <c r="T67" s="24" t="str">
        <f aca="false">'Dados completos'!AP175</f>
        <v>Parcial (agregador/título)</v>
      </c>
      <c r="U67" s="30" t="str">
        <f aca="false">'Dados completos'!AO175</f>
        <v>Anúncio em plataforma</v>
      </c>
      <c r="V67" s="32" t="str">
        <f aca="false">HYPERLINK('Dados completos'!AN175,"Abrir")</f>
        <v>Abrir</v>
      </c>
    </row>
    <row r="68" customFormat="false" ht="45.75" hidden="false" customHeight="true" outlineLevel="0" collapsed="false">
      <c r="A68" s="24" t="n">
        <f aca="false">'Dados completos'!A67</f>
        <v>64</v>
      </c>
      <c r="B68" s="25" t="str">
        <f aca="false">'Dados completos'!AL67</f>
        <v>Reserva</v>
      </c>
      <c r="C68" s="24" t="n">
        <f aca="false">'Dados completos'!Y67</f>
        <v>2.8</v>
      </c>
      <c r="D68" s="26" t="n">
        <f aca="false">'Dados completos'!AF67</f>
        <v>61.25</v>
      </c>
      <c r="E68" s="27" t="n">
        <f aca="false">'Dados completos'!AH67</f>
        <v>0.03405</v>
      </c>
      <c r="F68" s="28" t="str">
        <f aca="false">'Dados completos'!AI67</f>
        <v>Média</v>
      </c>
      <c r="G68" s="29" t="str">
        <f aca="false">'Dados completos'!B67</f>
        <v>Rothschild &amp; Co</v>
      </c>
      <c r="H68" s="30" t="str">
        <f aca="false">'Dados completos'!C67</f>
        <v>Global Advisory Internship, Poland 2027</v>
      </c>
      <c r="I68" s="30" t="str">
        <f aca="false">'Dados completos'!E67</f>
        <v>Banca de investimento / boutique</v>
      </c>
      <c r="J68" s="24" t="str">
        <f aca="false">'Dados completos'!F67</f>
        <v>Polónia</v>
      </c>
      <c r="K68" s="30" t="str">
        <f aca="false">'Dados completos'!G67</f>
        <v>Varsóvia</v>
      </c>
      <c r="L68" s="30" t="str">
        <f aca="false">'Dados completos'!H67</f>
        <v>Não indicado (provável presencial)</v>
      </c>
      <c r="M68" s="30" t="str">
        <f aca="false">'Dados completos'!I67</f>
        <v>2027 (mês por confirmar)</v>
      </c>
      <c r="N68" s="31" t="str">
        <f aca="false">'Dados completos'!O67</f>
        <v>Não indicado</v>
      </c>
      <c r="O68" s="28" t="str">
        <f aca="false">'Dados completos'!V67</f>
        <v>Alta</v>
      </c>
      <c r="P68" s="30" t="str">
        <f aca="false">IF('Dados completos'!R67="","n/d",IF('Dados completos'!R67='Dados completos'!S67,TEXT('Dados completos'!R67,"#,##0"),TEXT('Dados completos'!R67,"#,##0")&amp;", "&amp;TEXT('Dados completos'!S67,"#,##0")))</f>
        <v>800, 1,400</v>
      </c>
      <c r="Q68" s="30" t="str">
        <f aca="false">'Dados completos'!M67</f>
        <v>Inglês (ver oferta)</v>
      </c>
      <c r="R68" s="30" t="str">
        <f aca="false">'Dados completos'!AJ67</f>
        <v>Língua-chave EN (exigência 0.5); experiência prévia em finanças valorizada, CV tem pouca; exige mestrado em curso ou convenção de estágio, risco.</v>
      </c>
      <c r="S68" s="30" t="str">
        <f aca="false">'Dados completos'!AK67</f>
        <v>Por confirmar</v>
      </c>
      <c r="T68" s="24" t="str">
        <f aca="false">'Dados completos'!AP67</f>
        <v>Parcial (agregador/título)</v>
      </c>
      <c r="U68" s="30" t="str">
        <f aca="false">'Dados completos'!AO67</f>
        <v>Direto (site/ATS da empresa)</v>
      </c>
      <c r="V68" s="32" t="str">
        <f aca="false">HYPERLINK('Dados completos'!AN67,"Abrir")</f>
        <v>Abrir</v>
      </c>
    </row>
    <row r="69" customFormat="false" ht="45.75" hidden="false" customHeight="true" outlineLevel="0" collapsed="false">
      <c r="A69" s="24" t="n">
        <f aca="false">'Dados completos'!A90</f>
        <v>87</v>
      </c>
      <c r="B69" s="25" t="str">
        <f aca="false">'Dados completos'!AL90</f>
        <v>Candidatar (reach)</v>
      </c>
      <c r="C69" s="24" t="n">
        <f aca="false">'Dados completos'!Y90</f>
        <v>3</v>
      </c>
      <c r="D69" s="26" t="n">
        <f aca="false">'Dados completos'!AF90</f>
        <v>49.4</v>
      </c>
      <c r="E69" s="27" t="n">
        <f aca="false">'Dados completos'!AH90</f>
        <v>0.029784</v>
      </c>
      <c r="F69" s="28" t="str">
        <f aca="false">'Dados completos'!AI90</f>
        <v>Baixa</v>
      </c>
      <c r="G69" s="29" t="str">
        <f aca="false">'Dados completos'!B90</f>
        <v>Tikehau Capital</v>
      </c>
      <c r="H69" s="30" t="str">
        <f aca="false">'Dados completos'!C90</f>
        <v>Internship, Private Debt Milan, January 2027</v>
      </c>
      <c r="I69" s="30" t="str">
        <f aca="false">'Dados completos'!E90</f>
        <v>VC / private equity</v>
      </c>
      <c r="J69" s="24" t="str">
        <f aca="false">'Dados completos'!F90</f>
        <v>Itália</v>
      </c>
      <c r="K69" s="30" t="str">
        <f aca="false">'Dados completos'!G90</f>
        <v>Milão</v>
      </c>
      <c r="L69" s="30" t="str">
        <f aca="false">'Dados completos'!H90</f>
        <v>Não indicado (provável presencial)</v>
      </c>
      <c r="M69" s="30" t="str">
        <f aca="false">'Dados completos'!I90</f>
        <v>Jan 2027</v>
      </c>
      <c r="N69" s="31" t="str">
        <f aca="false">'Dados completos'!O90</f>
        <v>Não indicado</v>
      </c>
      <c r="O69" s="28" t="str">
        <f aca="false">'Dados completos'!V90</f>
        <v>Alta</v>
      </c>
      <c r="P69" s="30" t="str">
        <f aca="false">IF('Dados completos'!R90="","n/d",IF('Dados completos'!R90='Dados completos'!S90,TEXT('Dados completos'!R90,"#,##0"),TEXT('Dados completos'!R90,"#,##0")&amp;", "&amp;TEXT('Dados completos'!S90,"#,##0")))</f>
        <v>800, 1,500</v>
      </c>
      <c r="Q69" s="30" t="str">
        <f aca="false">'Dados completos'!M90</f>
        <v>Italiano e inglês (ver oferta)</v>
      </c>
      <c r="R69" s="30" t="str">
        <f aca="false">'Dados completos'!AJ90</f>
        <v>Língua-chave IT (exigência 0.6); experiência prévia em finanças valorizada, CV tem pouca; exige mestrado em curso ou convenção de estágio, risco.</v>
      </c>
      <c r="S69" s="30" t="str">
        <f aca="false">'Dados completos'!AK90</f>
        <v>Por confirmar</v>
      </c>
      <c r="T69" s="24" t="str">
        <f aca="false">'Dados completos'!AP90</f>
        <v>Parcial (agregador/título)</v>
      </c>
      <c r="U69" s="30" t="str">
        <f aca="false">'Dados completos'!AO90</f>
        <v>Direto (site/ATS da empresa)</v>
      </c>
      <c r="V69" s="32" t="str">
        <f aca="false">HYPERLINK('Dados completos'!AN90,"Abrir")</f>
        <v>Abrir</v>
      </c>
    </row>
    <row r="70" customFormat="false" ht="45.75" hidden="false" customHeight="true" outlineLevel="0" collapsed="false">
      <c r="A70" s="24" t="n">
        <f aca="false">'Dados completos'!A135</f>
        <v>132</v>
      </c>
      <c r="B70" s="25" t="str">
        <f aca="false">'Dados completos'!AL135</f>
        <v>Reserva</v>
      </c>
      <c r="C70" s="24" t="n">
        <f aca="false">'Dados completos'!Y135</f>
        <v>2.8</v>
      </c>
      <c r="D70" s="26" t="n">
        <f aca="false">'Dados completos'!AF135</f>
        <v>60.5</v>
      </c>
      <c r="E70" s="27" t="n">
        <f aca="false">'Dados completos'!AH135</f>
        <v>0.03378</v>
      </c>
      <c r="F70" s="28" t="str">
        <f aca="false">'Dados completos'!AI135</f>
        <v>Média</v>
      </c>
      <c r="G70" s="29" t="str">
        <f aca="false">'Dados completos'!B135</f>
        <v>Wells Fargo</v>
      </c>
      <c r="H70" s="30" t="str">
        <f aca="false">'Dados completos'!C135</f>
        <v>Off-Cycle Internship, Corporate &amp; Investment Banking (Londres)</v>
      </c>
      <c r="I70" s="30" t="str">
        <f aca="false">'Dados completos'!E135</f>
        <v>Banca de investimento</v>
      </c>
      <c r="J70" s="24" t="str">
        <f aca="false">'Dados completos'!F135</f>
        <v>Reino Unido</v>
      </c>
      <c r="K70" s="30" t="str">
        <f aca="false">'Dados completos'!G135</f>
        <v>Londres</v>
      </c>
      <c r="L70" s="30" t="str">
        <f aca="false">'Dados completos'!H135</f>
        <v>Não indicado (provável presencial)</v>
      </c>
      <c r="M70" s="30" t="str">
        <f aca="false">'Dados completos'!I135</f>
        <v>Por confirmar</v>
      </c>
      <c r="N70" s="31" t="str">
        <f aca="false">'Dados completos'!O135</f>
        <v>Não indicado</v>
      </c>
      <c r="O70" s="28" t="str">
        <f aca="false">'Dados completos'!V135</f>
        <v>Alta</v>
      </c>
      <c r="P70" s="30" t="str">
        <f aca="false">IF('Dados completos'!R135="","n/d",IF('Dados completos'!R135='Dados completos'!S135,TEXT('Dados completos'!R135,"#,##0"),TEXT('Dados completos'!R135,"#,##0")&amp;", "&amp;TEXT('Dados completos'!S135,"#,##0")))</f>
        <v>2,800, 4,000</v>
      </c>
      <c r="Q70" s="30" t="str">
        <f aca="false">'Dados completos'!M135</f>
        <v>Inglês (ver oferta)</v>
      </c>
      <c r="R70" s="30" t="str">
        <f aca="false">'Dados completos'!AJ135</f>
        <v>Língua-chave EN (exigência 1); experiência prévia em finanças valorizada, CV tem pouca; exige mestrado em curso ou convenção de estágio, risco.</v>
      </c>
      <c r="S70" s="30" t="str">
        <f aca="false">'Dados completos'!AK135</f>
        <v>Por confirmar</v>
      </c>
      <c r="T70" s="24" t="str">
        <f aca="false">'Dados completos'!AP135</f>
        <v>Parcial (agregador/título)</v>
      </c>
      <c r="U70" s="30" t="str">
        <f aca="false">'Dados completos'!AO135</f>
        <v>Página de carreiras (procurar a vaga)</v>
      </c>
      <c r="V70" s="32" t="str">
        <f aca="false">HYPERLINK('Dados completos'!AN135,"Abrir")</f>
        <v>Abrir</v>
      </c>
    </row>
    <row r="71" customFormat="false" ht="45.75" hidden="false" customHeight="true" outlineLevel="0" collapsed="false">
      <c r="A71" s="24" t="n">
        <f aca="false">'Dados completos'!A129</f>
        <v>126</v>
      </c>
      <c r="B71" s="25" t="str">
        <f aca="false">'Dados completos'!AL129</f>
        <v>Reserva</v>
      </c>
      <c r="C71" s="24" t="n">
        <f aca="false">'Dados completos'!Y129</f>
        <v>2.9</v>
      </c>
      <c r="D71" s="26" t="n">
        <f aca="false">'Dados completos'!AF129</f>
        <v>47.75</v>
      </c>
      <c r="E71" s="27" t="n">
        <f aca="false">'Dados completos'!AH129</f>
        <v>0.02919</v>
      </c>
      <c r="F71" s="28" t="str">
        <f aca="false">'Dados completos'!AI129</f>
        <v>Baixa</v>
      </c>
      <c r="G71" s="29" t="str">
        <f aca="false">'Dados completos'!B129</f>
        <v>Carlsquare</v>
      </c>
      <c r="H71" s="30" t="str">
        <f aca="false">'Dados completos'!C129</f>
        <v>M&amp;A Internship (m/f/d), January 2027 (Paris)</v>
      </c>
      <c r="I71" s="30" t="str">
        <f aca="false">'Dados completos'!E129</f>
        <v>Banca de investimento / boutique</v>
      </c>
      <c r="J71" s="24" t="str">
        <f aca="false">'Dados completos'!F129</f>
        <v>França</v>
      </c>
      <c r="K71" s="30" t="str">
        <f aca="false">'Dados completos'!G129</f>
        <v>Paris</v>
      </c>
      <c r="L71" s="30" t="str">
        <f aca="false">'Dados completos'!H129</f>
        <v>Não indicado (provável presencial)</v>
      </c>
      <c r="M71" s="30" t="str">
        <f aca="false">'Dados completos'!I129</f>
        <v>Jan 2027</v>
      </c>
      <c r="N71" s="31" t="str">
        <f aca="false">'Dados completos'!O129</f>
        <v>Não indicado</v>
      </c>
      <c r="O71" s="28" t="str">
        <f aca="false">'Dados completos'!V129</f>
        <v>Alta</v>
      </c>
      <c r="P71" s="30" t="str">
        <f aca="false">IF('Dados completos'!R129="","n/d",IF('Dados completos'!R129='Dados completos'!S129,TEXT('Dados completos'!R129,"#,##0"),TEXT('Dados completos'!R129,"#,##0")&amp;", "&amp;TEXT('Dados completos'!S129,"#,##0")))</f>
        <v>1,500, 2,500</v>
      </c>
      <c r="Q71" s="30" t="str">
        <f aca="false">'Dados completos'!M129</f>
        <v>Francês e inglês (ver oferta)</v>
      </c>
      <c r="R71" s="30" t="str">
        <f aca="false">'Dados completos'!AJ129</f>
        <v>Língua-chave FR (exigência 0.5); experiência prévia em finanças valorizada, CV tem pouca; exige mestrado em curso ou convenção de estágio, risco.</v>
      </c>
      <c r="S71" s="30" t="str">
        <f aca="false">'Dados completos'!AK129</f>
        <v>Por confirmar</v>
      </c>
      <c r="T71" s="24" t="str">
        <f aca="false">'Dados completos'!AP129</f>
        <v>Parcial (agregador/título)</v>
      </c>
      <c r="U71" s="30" t="str">
        <f aca="false">'Dados completos'!AO129</f>
        <v>Direto (site/ATS da empresa)</v>
      </c>
      <c r="V71" s="32" t="str">
        <f aca="false">HYPERLINK('Dados completos'!AN129,"Abrir")</f>
        <v>Abrir</v>
      </c>
    </row>
    <row r="72" customFormat="false" ht="45.75" hidden="false" customHeight="true" outlineLevel="0" collapsed="false">
      <c r="A72" s="24" t="n">
        <f aca="false">'Dados completos'!A145</f>
        <v>142</v>
      </c>
      <c r="B72" s="25" t="str">
        <f aca="false">'Dados completos'!AL145</f>
        <v>Reserva</v>
      </c>
      <c r="C72" s="24" t="n">
        <f aca="false">'Dados completos'!Y145</f>
        <v>2.9</v>
      </c>
      <c r="D72" s="26" t="n">
        <f aca="false">'Dados completos'!AF145</f>
        <v>47.75</v>
      </c>
      <c r="E72" s="27" t="n">
        <f aca="false">'Dados completos'!AH145</f>
        <v>0.02919</v>
      </c>
      <c r="F72" s="28" t="str">
        <f aca="false">'Dados completos'!AI145</f>
        <v>Baixa</v>
      </c>
      <c r="G72" s="29" t="str">
        <f aca="false">'Dados completos'!B145</f>
        <v>Lincoln International</v>
      </c>
      <c r="H72" s="30" t="str">
        <f aca="false">'Dados completos'!C145</f>
        <v>M&amp;A Internship, Janeiro 2027</v>
      </c>
      <c r="I72" s="30" t="str">
        <f aca="false">'Dados completos'!E145</f>
        <v>Banca de investimento / boutique</v>
      </c>
      <c r="J72" s="24" t="str">
        <f aca="false">'Dados completos'!F145</f>
        <v>França</v>
      </c>
      <c r="K72" s="30" t="str">
        <f aca="false">'Dados completos'!G145</f>
        <v>Paris</v>
      </c>
      <c r="L72" s="30" t="str">
        <f aca="false">'Dados completos'!H145</f>
        <v>Não indicado (provável presencial)</v>
      </c>
      <c r="M72" s="30" t="str">
        <f aca="false">'Dados completos'!I145</f>
        <v>Jan 2027</v>
      </c>
      <c r="N72" s="31" t="str">
        <f aca="false">'Dados completos'!O145</f>
        <v>Não indicado</v>
      </c>
      <c r="O72" s="28" t="str">
        <f aca="false">'Dados completos'!V145</f>
        <v>Alta</v>
      </c>
      <c r="P72" s="30" t="str">
        <f aca="false">IF('Dados completos'!R145="","n/d",IF('Dados completos'!R145='Dados completos'!S145,TEXT('Dados completos'!R145,"#,##0"),TEXT('Dados completos'!R145,"#,##0")&amp;", "&amp;TEXT('Dados completos'!S145,"#,##0")))</f>
        <v>1,500, 2,500</v>
      </c>
      <c r="Q72" s="30" t="str">
        <f aca="false">'Dados completos'!M145</f>
        <v>Francês e inglês (ver oferta)</v>
      </c>
      <c r="R72" s="30" t="str">
        <f aca="false">'Dados completos'!AJ145</f>
        <v>Língua-chave FR (exigência 0.5); experiência prévia em finanças valorizada, CV tem pouca; exige mestrado em curso ou convenção de estágio, risco.</v>
      </c>
      <c r="S72" s="30" t="str">
        <f aca="false">'Dados completos'!AK145</f>
        <v>Por confirmar</v>
      </c>
      <c r="T72" s="24" t="str">
        <f aca="false">'Dados completos'!AP145</f>
        <v>Parcial (agregador/título)</v>
      </c>
      <c r="U72" s="30" t="str">
        <f aca="false">'Dados completos'!AO145</f>
        <v>Direto (site/ATS da empresa)</v>
      </c>
      <c r="V72" s="32" t="str">
        <f aca="false">HYPERLINK('Dados completos'!AN145,"Abrir")</f>
        <v>Abrir</v>
      </c>
    </row>
    <row r="73" customFormat="false" ht="45.75" hidden="false" customHeight="true" outlineLevel="0" collapsed="false">
      <c r="A73" s="24" t="n">
        <f aca="false">'Dados completos'!A138</f>
        <v>135</v>
      </c>
      <c r="B73" s="25" t="str">
        <f aca="false">'Dados completos'!AL138</f>
        <v>Reserva</v>
      </c>
      <c r="C73" s="24" t="n">
        <f aca="false">'Dados completos'!Y138</f>
        <v>2.9</v>
      </c>
      <c r="D73" s="26" t="n">
        <f aca="false">'Dados completos'!AF138</f>
        <v>45.2</v>
      </c>
      <c r="E73" s="27" t="n">
        <f aca="false">'Dados completos'!AH138</f>
        <v>0.028272</v>
      </c>
      <c r="F73" s="28" t="str">
        <f aca="false">'Dados completos'!AI138</f>
        <v>Baixa</v>
      </c>
      <c r="G73" s="29" t="str">
        <f aca="false">'Dados completos'!B138</f>
        <v>Mediobanca</v>
      </c>
      <c r="H73" s="30" t="str">
        <f aca="false">'Dados completos'!C138</f>
        <v>Spain Off-Cycle Internship, Investment Banking (M&amp;A)</v>
      </c>
      <c r="I73" s="30" t="str">
        <f aca="false">'Dados completos'!E138</f>
        <v>Banca de investimento / boutique</v>
      </c>
      <c r="J73" s="24" t="str">
        <f aca="false">'Dados completos'!F138</f>
        <v>Espanha</v>
      </c>
      <c r="K73" s="30" t="str">
        <f aca="false">'Dados completos'!G138</f>
        <v>Madrid</v>
      </c>
      <c r="L73" s="30" t="str">
        <f aca="false">'Dados completos'!H138</f>
        <v>Não indicado (provável presencial)</v>
      </c>
      <c r="M73" s="30" t="str">
        <f aca="false">'Dados completos'!I138</f>
        <v>Por confirmar</v>
      </c>
      <c r="N73" s="31" t="str">
        <f aca="false">'Dados completos'!O138</f>
        <v>Não indicado</v>
      </c>
      <c r="O73" s="28" t="str">
        <f aca="false">'Dados completos'!V138</f>
        <v>Alta</v>
      </c>
      <c r="P73" s="30" t="str">
        <f aca="false">IF('Dados completos'!R138="","n/d",IF('Dados completos'!R138='Dados completos'!S138,TEXT('Dados completos'!R138,"#,##0"),TEXT('Dados completos'!R138,"#,##0")&amp;", "&amp;TEXT('Dados completos'!S138,"#,##0")))</f>
        <v>1,000, 1,800</v>
      </c>
      <c r="Q73" s="30" t="str">
        <f aca="false">'Dados completos'!M138</f>
        <v>Espanhol e inglês (ver oferta)</v>
      </c>
      <c r="R73" s="30" t="str">
        <f aca="false">'Dados completos'!AJ138</f>
        <v>Língua-chave ES (exigência 0.8); experiência prévia em finanças valorizada, CV tem pouca; exige mestrado em curso ou convenção de estágio, risco.</v>
      </c>
      <c r="S73" s="30" t="str">
        <f aca="false">'Dados completos'!AK138</f>
        <v>Por confirmar</v>
      </c>
      <c r="T73" s="24" t="str">
        <f aca="false">'Dados completos'!AP138</f>
        <v>Parcial (agregador/título)</v>
      </c>
      <c r="U73" s="30" t="str">
        <f aca="false">'Dados completos'!AO138</f>
        <v>Direto (site/ATS da empresa)</v>
      </c>
      <c r="V73" s="32" t="str">
        <f aca="false">HYPERLINK('Dados completos'!AN138,"Abrir")</f>
        <v>Abrir</v>
      </c>
    </row>
    <row r="74" customFormat="false" ht="45.75" hidden="false" customHeight="true" outlineLevel="0" collapsed="false">
      <c r="A74" s="24" t="n">
        <f aca="false">'Dados completos'!A37</f>
        <v>34</v>
      </c>
      <c r="B74" s="25" t="str">
        <f aca="false">'Dados completos'!AL37</f>
        <v>Candidatar (reach)</v>
      </c>
      <c r="C74" s="24" t="n">
        <f aca="false">'Dados completos'!Y37</f>
        <v>3.2</v>
      </c>
      <c r="D74" s="26" t="n">
        <f aca="false">'Dados completos'!AF37</f>
        <v>45.05</v>
      </c>
      <c r="E74" s="27" t="n">
        <f aca="false">'Dados completos'!AH37</f>
        <v>0.028218</v>
      </c>
      <c r="F74" s="28" t="str">
        <f aca="false">'Dados completos'!AI37</f>
        <v>Baixa</v>
      </c>
      <c r="G74" s="29" t="str">
        <f aca="false">'Dados completos'!B37</f>
        <v>Neuplaner</v>
      </c>
      <c r="H74" s="30" t="str">
        <f aca="false">'Dados completos'!C37</f>
        <v>Praktikant, M&amp;A Investment Team (Berlim)</v>
      </c>
      <c r="I74" s="30" t="str">
        <f aca="false">'Dados completos'!E37</f>
        <v>Banca de investimento / boutique</v>
      </c>
      <c r="J74" s="24" t="str">
        <f aca="false">'Dados completos'!F37</f>
        <v>Alemanha</v>
      </c>
      <c r="K74" s="30" t="str">
        <f aca="false">'Dados completos'!G37</f>
        <v>Berlim</v>
      </c>
      <c r="L74" s="30" t="str">
        <f aca="false">'Dados completos'!H37</f>
        <v>Não indicado (provável presencial)</v>
      </c>
      <c r="M74" s="30" t="str">
        <f aca="false">'Dados completos'!I37</f>
        <v>Q1 ou Q2 2027</v>
      </c>
      <c r="N74" s="31" t="str">
        <f aca="false">'Dados completos'!O37</f>
        <v>Não indicado</v>
      </c>
      <c r="O74" s="28" t="str">
        <f aca="false">'Dados completos'!V37</f>
        <v>Alta</v>
      </c>
      <c r="P74" s="30" t="str">
        <f aca="false">IF('Dados completos'!R37="","n/d",IF('Dados completos'!R37='Dados completos'!S37,TEXT('Dados completos'!R37,"#,##0"),TEXT('Dados completos'!R37,"#,##0")&amp;", "&amp;TEXT('Dados completos'!S37,"#,##0")))</f>
        <v>1,200, 2,000</v>
      </c>
      <c r="Q74" s="30" t="str">
        <f aca="false">'Dados completos'!M37</f>
        <v>Alemão provável</v>
      </c>
      <c r="R74" s="30" t="str">
        <f aca="false">'Dados completos'!AJ37</f>
        <v>Língua-chave DE (exigência 0.7); experiência prévia em finanças valorizada, CV tem pouca; exige mestrado em curso ou convenção de estágio, risco.</v>
      </c>
      <c r="S74" s="30" t="str">
        <f aca="false">'Dados completos'!AK37</f>
        <v>Por confirmar</v>
      </c>
      <c r="T74" s="24" t="str">
        <f aca="false">'Dados completos'!AP37</f>
        <v>Parcial (agregador/título)</v>
      </c>
      <c r="U74" s="30" t="str">
        <f aca="false">'Dados completos'!AO37</f>
        <v>Anúncio em plataforma</v>
      </c>
      <c r="V74" s="32" t="str">
        <f aca="false">HYPERLINK('Dados completos'!AN37,"Abrir")</f>
        <v>Abrir</v>
      </c>
    </row>
    <row r="75" customFormat="false" ht="45.75" hidden="false" customHeight="true" outlineLevel="0" collapsed="false">
      <c r="A75" s="24" t="n">
        <f aca="false">'Dados completos'!A77</f>
        <v>74</v>
      </c>
      <c r="B75" s="25" t="str">
        <f aca="false">'Dados completos'!AL77</f>
        <v>Reserva</v>
      </c>
      <c r="C75" s="24" t="n">
        <f aca="false">'Dados completos'!Y77</f>
        <v>2.6</v>
      </c>
      <c r="D75" s="26" t="n">
        <f aca="false">'Dados completos'!AF77</f>
        <v>68</v>
      </c>
      <c r="E75" s="27" t="n">
        <f aca="false">'Dados completos'!AH77</f>
        <v>0.03648</v>
      </c>
      <c r="F75" s="28" t="str">
        <f aca="false">'Dados completos'!AI77</f>
        <v>Média</v>
      </c>
      <c r="G75" s="29" t="str">
        <f aca="false">'Dados completos'!B77</f>
        <v>PAI Partners</v>
      </c>
      <c r="H75" s="30" t="str">
        <f aca="false">'Dados completos'!C77</f>
        <v>DealCloud internship (6 meses, Londres)</v>
      </c>
      <c r="I75" s="30" t="str">
        <f aca="false">'Dados completos'!E77</f>
        <v>VC / private equity</v>
      </c>
      <c r="J75" s="24" t="str">
        <f aca="false">'Dados completos'!F77</f>
        <v>Reino Unido</v>
      </c>
      <c r="K75" s="30" t="str">
        <f aca="false">'Dados completos'!G77</f>
        <v>Londres</v>
      </c>
      <c r="L75" s="30" t="str">
        <f aca="false">'Dados completos'!H77</f>
        <v>Não indicado (provável presencial)</v>
      </c>
      <c r="M75" s="30" t="str">
        <f aca="false">'Dados completos'!I77</f>
        <v>Por confirmar</v>
      </c>
      <c r="N75" s="31" t="str">
        <f aca="false">'Dados completos'!O77</f>
        <v>Não indicado</v>
      </c>
      <c r="O75" s="28" t="str">
        <f aca="false">'Dados completos'!V77</f>
        <v>Alta</v>
      </c>
      <c r="P75" s="30" t="str">
        <f aca="false">IF('Dados completos'!R77="","n/d",IF('Dados completos'!R77='Dados completos'!S77,TEXT('Dados completos'!R77,"#,##0"),TEXT('Dados completos'!R77,"#,##0")&amp;", "&amp;TEXT('Dados completos'!S77,"#,##0")))</f>
        <v>2,800, 4,000</v>
      </c>
      <c r="Q75" s="30" t="str">
        <f aca="false">'Dados completos'!M77</f>
        <v>Inglês (ver oferta)</v>
      </c>
      <c r="R75" s="30" t="str">
        <f aca="false">'Dados completos'!AJ77</f>
        <v>Língua-chave EN (exigência 1); experiência prévia em finanças valorizada, CV tem pouca; exige mestrado em curso ou convenção de estágio, risco.</v>
      </c>
      <c r="S75" s="30" t="str">
        <f aca="false">'Dados completos'!AK77</f>
        <v>Por confirmar</v>
      </c>
      <c r="T75" s="24" t="str">
        <f aca="false">'Dados completos'!AP77</f>
        <v>Parcial (agregador/título)</v>
      </c>
      <c r="U75" s="30" t="str">
        <f aca="false">'Dados completos'!AO77</f>
        <v>Direto (site/ATS da empresa)</v>
      </c>
      <c r="V75" s="32" t="str">
        <f aca="false">HYPERLINK('Dados completos'!AN77,"Abrir")</f>
        <v>Abrir</v>
      </c>
    </row>
    <row r="76" customFormat="false" ht="45.75" hidden="false" customHeight="true" outlineLevel="0" collapsed="false">
      <c r="A76" s="24" t="n">
        <f aca="false">'Dados completos'!A223</f>
        <v>220</v>
      </c>
      <c r="B76" s="25" t="str">
        <f aca="false">'Dados completos'!AL223</f>
        <v>Reserva</v>
      </c>
      <c r="C76" s="24" t="n">
        <f aca="false">'Dados completos'!Y223</f>
        <v>2.6</v>
      </c>
      <c r="D76" s="26" t="n">
        <f aca="false">'Dados completos'!AF223</f>
        <v>67.5</v>
      </c>
      <c r="E76" s="27" t="n">
        <f aca="false">'Dados completos'!AH223</f>
        <v>0.0363</v>
      </c>
      <c r="F76" s="28" t="str">
        <f aca="false">'Dados completos'!AI223</f>
        <v>Média</v>
      </c>
      <c r="G76" s="29" t="str">
        <f aca="false">'Dados completos'!B223</f>
        <v>Feedzai</v>
      </c>
      <c r="H76" s="30" t="str">
        <f aca="false">'Dados completos'!C223</f>
        <v>Customer Strategy and Value Associate (Lisboa)</v>
      </c>
      <c r="I76" s="30" t="str">
        <f aca="false">'Dados completos'!E223</f>
        <v>Startup / scale-up</v>
      </c>
      <c r="J76" s="24" t="str">
        <f aca="false">'Dados completos'!F223</f>
        <v>Portugal</v>
      </c>
      <c r="K76" s="30" t="str">
        <f aca="false">'Dados completos'!G223</f>
        <v>Lisboa</v>
      </c>
      <c r="L76" s="30" t="str">
        <f aca="false">'Dados completos'!H223</f>
        <v>Não indicado (provável presencial)</v>
      </c>
      <c r="M76" s="30" t="str">
        <f aca="false">'Dados completos'!I223</f>
        <v>Não indicado</v>
      </c>
      <c r="N76" s="31" t="str">
        <f aca="false">'Dados completos'!O223</f>
        <v>Não indicado</v>
      </c>
      <c r="O76" s="28" t="str">
        <f aca="false">'Dados completos'!V223</f>
        <v>Alta</v>
      </c>
      <c r="P76" s="30" t="str">
        <f aca="false">IF('Dados completos'!R223="","n/d",IF('Dados completos'!R223='Dados completos'!S223,TEXT('Dados completos'!R223,"#,##0"),TEXT('Dados completos'!R223,"#,##0")&amp;", "&amp;TEXT('Dados completos'!S223,"#,##0")))</f>
        <v>1,400, 2,000</v>
      </c>
      <c r="Q76" s="30" t="str">
        <f aca="false">'Dados completos'!M223</f>
        <v>Inglês (ver oferta)</v>
      </c>
      <c r="R76" s="30" t="str">
        <f aca="false">'Dados completos'!AJ223</f>
        <v>Língua-chave EN (exigência 1); experiência prévia em finanças valorizada, CV tem pouca.</v>
      </c>
      <c r="S76" s="30" t="str">
        <f aca="false">'Dados completos'!AK223</f>
        <v>Aberta (prazo não indicado)</v>
      </c>
      <c r="T76" s="24" t="str">
        <f aca="false">'Dados completos'!AP223</f>
        <v>Parcial (agregador/título)</v>
      </c>
      <c r="U76" s="30" t="str">
        <f aca="false">'Dados completos'!AO223</f>
        <v>Direto (site/ATS da empresa)</v>
      </c>
      <c r="V76" s="32" t="str">
        <f aca="false">HYPERLINK('Dados completos'!AN223,"Abrir")</f>
        <v>Abrir</v>
      </c>
    </row>
    <row r="77" customFormat="false" ht="45.75" hidden="false" customHeight="true" outlineLevel="0" collapsed="false">
      <c r="A77" s="24" t="n">
        <f aca="false">'Dados completos'!A149</f>
        <v>146</v>
      </c>
      <c r="B77" s="25" t="str">
        <f aca="false">'Dados completos'!AL149</f>
        <v>Reserva</v>
      </c>
      <c r="C77" s="24" t="n">
        <f aca="false">'Dados completos'!Y149</f>
        <v>2.9</v>
      </c>
      <c r="D77" s="26" t="n">
        <f aca="false">'Dados completos'!AF149</f>
        <v>42.05</v>
      </c>
      <c r="E77" s="27" t="n">
        <f aca="false">'Dados completos'!AH149</f>
        <v>0.027138</v>
      </c>
      <c r="F77" s="28" t="str">
        <f aca="false">'Dados completos'!AI149</f>
        <v>Baixa</v>
      </c>
      <c r="G77" s="29" t="str">
        <f aca="false">'Dados completos'!B149</f>
        <v>Natixis CIB</v>
      </c>
      <c r="H77" s="30" t="str">
        <f aca="false">'Dados completos'!C149</f>
        <v>Off-Cycle Internship, Corporate &amp; Investment Banking (Paris)</v>
      </c>
      <c r="I77" s="30" t="str">
        <f aca="false">'Dados completos'!E149</f>
        <v>Banca de investimento</v>
      </c>
      <c r="J77" s="24" t="str">
        <f aca="false">'Dados completos'!F149</f>
        <v>França</v>
      </c>
      <c r="K77" s="30" t="str">
        <f aca="false">'Dados completos'!G149</f>
        <v>Paris</v>
      </c>
      <c r="L77" s="30" t="str">
        <f aca="false">'Dados completos'!H149</f>
        <v>Não indicado (provável presencial)</v>
      </c>
      <c r="M77" s="30" t="str">
        <f aca="false">'Dados completos'!I149</f>
        <v>Por confirmar</v>
      </c>
      <c r="N77" s="31" t="str">
        <f aca="false">'Dados completos'!O149</f>
        <v>Não indicado</v>
      </c>
      <c r="O77" s="28" t="str">
        <f aca="false">'Dados completos'!V149</f>
        <v>Alta</v>
      </c>
      <c r="P77" s="30" t="str">
        <f aca="false">IF('Dados completos'!R149="","n/d",IF('Dados completos'!R149='Dados completos'!S149,TEXT('Dados completos'!R149,"#,##0"),TEXT('Dados completos'!R149,"#,##0")&amp;", "&amp;TEXT('Dados completos'!S149,"#,##0")))</f>
        <v>1,500, 2,500</v>
      </c>
      <c r="Q77" s="30" t="str">
        <f aca="false">'Dados completos'!M149</f>
        <v>Francês e inglês (ver oferta)</v>
      </c>
      <c r="R77" s="30" t="str">
        <f aca="false">'Dados completos'!AJ149</f>
        <v>Língua-chave FR (exigência 0.7); experiência prévia em finanças valorizada, CV tem pouca; exige mestrado em curso ou convenção de estágio, risco.</v>
      </c>
      <c r="S77" s="30" t="str">
        <f aca="false">'Dados completos'!AK149</f>
        <v>Por confirmar</v>
      </c>
      <c r="T77" s="24" t="str">
        <f aca="false">'Dados completos'!AP149</f>
        <v>Parcial (agregador/título)</v>
      </c>
      <c r="U77" s="30" t="str">
        <f aca="false">'Dados completos'!AO149</f>
        <v>Página de carreiras (procurar a vaga)</v>
      </c>
      <c r="V77" s="32" t="str">
        <f aca="false">HYPERLINK('Dados completos'!AN149,"Abrir")</f>
        <v>Abrir</v>
      </c>
    </row>
    <row r="78" customFormat="false" ht="45.75" hidden="false" customHeight="true" outlineLevel="0" collapsed="false">
      <c r="A78" s="24" t="n">
        <f aca="false">'Dados completos'!A94</f>
        <v>91</v>
      </c>
      <c r="B78" s="25" t="str">
        <f aca="false">'Dados completos'!AL94</f>
        <v>Reserva</v>
      </c>
      <c r="C78" s="24" t="n">
        <f aca="false">'Dados completos'!Y94</f>
        <v>2.9</v>
      </c>
      <c r="D78" s="26" t="n">
        <f aca="false">'Dados completos'!AF94</f>
        <v>41.2</v>
      </c>
      <c r="E78" s="27" t="n">
        <f aca="false">'Dados completos'!AH94</f>
        <v>0.026832</v>
      </c>
      <c r="F78" s="28" t="str">
        <f aca="false">'Dados completos'!AI94</f>
        <v>Baixa</v>
      </c>
      <c r="G78" s="29" t="str">
        <f aca="false">'Dados completos'!B94</f>
        <v>INDEFI Group</v>
      </c>
      <c r="H78" s="30" t="str">
        <f aca="false">'Dados completos'!C94</f>
        <v>Strategy Consultant Internship, Private Equity, Janvier 2027</v>
      </c>
      <c r="I78" s="30" t="str">
        <f aca="false">'Dados completos'!E94</f>
        <v>Banca de investimento / boutique</v>
      </c>
      <c r="J78" s="24" t="str">
        <f aca="false">'Dados completos'!F94</f>
        <v>França</v>
      </c>
      <c r="K78" s="30" t="str">
        <f aca="false">'Dados completos'!G94</f>
        <v>Paris</v>
      </c>
      <c r="L78" s="30" t="str">
        <f aca="false">'Dados completos'!H94</f>
        <v>Não indicado (provável presencial)</v>
      </c>
      <c r="M78" s="30" t="str">
        <f aca="false">'Dados completos'!I94</f>
        <v>Jan 2027</v>
      </c>
      <c r="N78" s="31" t="str">
        <f aca="false">'Dados completos'!O94</f>
        <v>Não indicado</v>
      </c>
      <c r="O78" s="28" t="str">
        <f aca="false">'Dados completos'!V94</f>
        <v>Alta</v>
      </c>
      <c r="P78" s="30" t="str">
        <f aca="false">IF('Dados completos'!R94="","n/d",IF('Dados completos'!R94='Dados completos'!S94,TEXT('Dados completos'!R94,"#,##0"),TEXT('Dados completos'!R94,"#,##0")&amp;", "&amp;TEXT('Dados completos'!S94,"#,##0")))</f>
        <v>1,500, 2,500</v>
      </c>
      <c r="Q78" s="30" t="str">
        <f aca="false">'Dados completos'!M94</f>
        <v>Francês e inglês (ver oferta)</v>
      </c>
      <c r="R78" s="30" t="str">
        <f aca="false">'Dados completos'!AJ94</f>
        <v>Língua-chave FR (exigência 0.8); experiência prévia em finanças valorizada, CV tem pouca; exige mestrado em curso ou convenção de estágio, risco.</v>
      </c>
      <c r="S78" s="30" t="str">
        <f aca="false">'Dados completos'!AK94</f>
        <v>Por confirmar</v>
      </c>
      <c r="T78" s="24" t="str">
        <f aca="false">'Dados completos'!AP94</f>
        <v>Parcial (agregador/título)</v>
      </c>
      <c r="U78" s="30" t="str">
        <f aca="false">'Dados completos'!AO94</f>
        <v>Anúncio em plataforma</v>
      </c>
      <c r="V78" s="32" t="str">
        <f aca="false">HYPERLINK('Dados completos'!AN94,"Abrir")</f>
        <v>Abrir</v>
      </c>
    </row>
    <row r="79" customFormat="false" ht="45.75" hidden="false" customHeight="true" outlineLevel="0" collapsed="false">
      <c r="A79" s="24" t="n">
        <f aca="false">'Dados completos'!A52</f>
        <v>49</v>
      </c>
      <c r="B79" s="25" t="str">
        <f aca="false">'Dados completos'!AL52</f>
        <v>Reserva</v>
      </c>
      <c r="C79" s="24" t="n">
        <f aca="false">'Dados completos'!Y52</f>
        <v>2.7</v>
      </c>
      <c r="D79" s="26" t="n">
        <f aca="false">'Dados completos'!AF52</f>
        <v>51.25</v>
      </c>
      <c r="E79" s="27" t="n">
        <f aca="false">'Dados completos'!AH52</f>
        <v>0.03045</v>
      </c>
      <c r="F79" s="28" t="str">
        <f aca="false">'Dados completos'!AI52</f>
        <v>Média</v>
      </c>
      <c r="G79" s="29" t="str">
        <f aca="false">'Dados completos'!B52</f>
        <v>Ardian</v>
      </c>
      <c r="H79" s="30" t="str">
        <f aca="false">'Dados completos'!C52</f>
        <v>Corporate Finance Intern, January 2027</v>
      </c>
      <c r="I79" s="30" t="str">
        <f aca="false">'Dados completos'!E52</f>
        <v>VC / private equity</v>
      </c>
      <c r="J79" s="24" t="str">
        <f aca="false">'Dados completos'!F52</f>
        <v>Luxemburgo</v>
      </c>
      <c r="K79" s="30" t="str">
        <f aca="false">'Dados completos'!G52</f>
        <v>Luxemburgo</v>
      </c>
      <c r="L79" s="30" t="str">
        <f aca="false">'Dados completos'!H52</f>
        <v>Não indicado (provável presencial)</v>
      </c>
      <c r="M79" s="30" t="str">
        <f aca="false">'Dados completos'!I52</f>
        <v>Jan 2027</v>
      </c>
      <c r="N79" s="31" t="str">
        <f aca="false">'Dados completos'!O52</f>
        <v>Não indicado</v>
      </c>
      <c r="O79" s="28" t="str">
        <f aca="false">'Dados completos'!V52</f>
        <v>Alta</v>
      </c>
      <c r="P79" s="30" t="str">
        <f aca="false">IF('Dados completos'!R52="","n/d",IF('Dados completos'!R52='Dados completos'!S52,TEXT('Dados completos'!R52,"#,##0"),TEXT('Dados completos'!R52,"#,##0")&amp;", "&amp;TEXT('Dados completos'!S52,"#,##0")))</f>
        <v>1,800, 2,500</v>
      </c>
      <c r="Q79" s="30" t="str">
        <f aca="false">'Dados completos'!M52</f>
        <v>Francês e inglês (ver oferta)</v>
      </c>
      <c r="R79" s="30" t="str">
        <f aca="false">'Dados completos'!AJ52</f>
        <v>Língua-chave FR (exigência 0.5); experiência prévia em finanças valorizada, CV tem pouca; exige mestrado em curso ou convenção de estágio, risco.</v>
      </c>
      <c r="S79" s="30" t="str">
        <f aca="false">'Dados completos'!AK52</f>
        <v>Por confirmar</v>
      </c>
      <c r="T79" s="24" t="str">
        <f aca="false">'Dados completos'!AP52</f>
        <v>Parcial (agregador/título)</v>
      </c>
      <c r="U79" s="30" t="str">
        <f aca="false">'Dados completos'!AO52</f>
        <v>Direto (site/ATS da empresa)</v>
      </c>
      <c r="V79" s="32" t="str">
        <f aca="false">HYPERLINK('Dados completos'!AN52,"Abrir")</f>
        <v>Abrir</v>
      </c>
    </row>
    <row r="80" customFormat="false" ht="45.75" hidden="false" customHeight="true" outlineLevel="0" collapsed="false">
      <c r="A80" s="24" t="n">
        <f aca="false">'Dados completos'!A72</f>
        <v>69</v>
      </c>
      <c r="B80" s="25" t="str">
        <f aca="false">'Dados completos'!AL72</f>
        <v>Reserva</v>
      </c>
      <c r="C80" s="24" t="n">
        <f aca="false">'Dados completos'!Y72</f>
        <v>2.7</v>
      </c>
      <c r="D80" s="26" t="n">
        <f aca="false">'Dados completos'!AF72</f>
        <v>50.75</v>
      </c>
      <c r="E80" s="27" t="n">
        <f aca="false">'Dados completos'!AH72</f>
        <v>0.03027</v>
      </c>
      <c r="F80" s="28" t="str">
        <f aca="false">'Dados completos'!AI72</f>
        <v>Média</v>
      </c>
      <c r="G80" s="29" t="str">
        <f aca="false">'Dados completos'!B72</f>
        <v>Revaia</v>
      </c>
      <c r="H80" s="30" t="str">
        <f aca="false">'Dados completos'!C72</f>
        <v>Finance &amp; Operations Intern, Growth Equity Fund (6 meses desde janeiro 2027)</v>
      </c>
      <c r="I80" s="30" t="str">
        <f aca="false">'Dados completos'!E72</f>
        <v>VC / private equity</v>
      </c>
      <c r="J80" s="24" t="str">
        <f aca="false">'Dados completos'!F72</f>
        <v>França</v>
      </c>
      <c r="K80" s="30" t="str">
        <f aca="false">'Dados completos'!G72</f>
        <v>Paris</v>
      </c>
      <c r="L80" s="30" t="str">
        <f aca="false">'Dados completos'!H72</f>
        <v>Não indicado (provável presencial)</v>
      </c>
      <c r="M80" s="30" t="str">
        <f aca="false">'Dados completos'!I72</f>
        <v>Jan 2027</v>
      </c>
      <c r="N80" s="31" t="str">
        <f aca="false">'Dados completos'!O72</f>
        <v>Não indicado</v>
      </c>
      <c r="O80" s="28" t="str">
        <f aca="false">'Dados completos'!V72</f>
        <v>Alta</v>
      </c>
      <c r="P80" s="30" t="str">
        <f aca="false">IF('Dados completos'!R72="","n/d",IF('Dados completos'!R72='Dados completos'!S72,TEXT('Dados completos'!R72,"#,##0"),TEXT('Dados completos'!R72,"#,##0")&amp;", "&amp;TEXT('Dados completos'!S72,"#,##0")))</f>
        <v>1,500, 2,500</v>
      </c>
      <c r="Q80" s="30" t="str">
        <f aca="false">'Dados completos'!M72</f>
        <v>Francês e inglês (ver oferta)</v>
      </c>
      <c r="R80" s="30" t="str">
        <f aca="false">'Dados completos'!AJ72</f>
        <v>Língua-chave FR (exigência 0.5); experiência prévia em finanças valorizada, CV tem pouca; exige mestrado em curso ou convenção de estágio, risco.</v>
      </c>
      <c r="S80" s="30" t="str">
        <f aca="false">'Dados completos'!AK72</f>
        <v>Por confirmar</v>
      </c>
      <c r="T80" s="24" t="str">
        <f aca="false">'Dados completos'!AP72</f>
        <v>Parcial (agregador/título)</v>
      </c>
      <c r="U80" s="30" t="str">
        <f aca="false">'Dados completos'!AO72</f>
        <v>Direto (site/ATS da empresa)</v>
      </c>
      <c r="V80" s="32" t="str">
        <f aca="false">HYPERLINK('Dados completos'!AN72,"Abrir")</f>
        <v>Abrir</v>
      </c>
    </row>
    <row r="81" customFormat="false" ht="45.75" hidden="false" customHeight="true" outlineLevel="0" collapsed="false">
      <c r="A81" s="24" t="n">
        <f aca="false">'Dados completos'!A89</f>
        <v>86</v>
      </c>
      <c r="B81" s="25" t="str">
        <f aca="false">'Dados completos'!AL89</f>
        <v>Reserva</v>
      </c>
      <c r="C81" s="24" t="n">
        <f aca="false">'Dados completos'!Y89</f>
        <v>2.9</v>
      </c>
      <c r="D81" s="26" t="n">
        <f aca="false">'Dados completos'!AF89</f>
        <v>39.2</v>
      </c>
      <c r="E81" s="27" t="n">
        <f aca="false">'Dados completos'!AH89</f>
        <v>0.026112</v>
      </c>
      <c r="F81" s="28" t="str">
        <f aca="false">'Dados completos'!AI89</f>
        <v>Baixa</v>
      </c>
      <c r="G81" s="29" t="str">
        <f aca="false">'Dados completos'!B89</f>
        <v>Tikehau Capital</v>
      </c>
      <c r="H81" s="30" t="str">
        <f aca="false">'Dados completos'!C89</f>
        <v>Internship, Financial Analyst (Paris), Mar 2027</v>
      </c>
      <c r="I81" s="30" t="str">
        <f aca="false">'Dados completos'!E89</f>
        <v>VC / private equity</v>
      </c>
      <c r="J81" s="24" t="str">
        <f aca="false">'Dados completos'!F89</f>
        <v>França</v>
      </c>
      <c r="K81" s="30" t="str">
        <f aca="false">'Dados completos'!G89</f>
        <v>Paris</v>
      </c>
      <c r="L81" s="30" t="str">
        <f aca="false">'Dados completos'!H89</f>
        <v>Não indicado (provável presencial)</v>
      </c>
      <c r="M81" s="30" t="str">
        <f aca="false">'Dados completos'!I89</f>
        <v>Mar 2027 (não é janeiro)</v>
      </c>
      <c r="N81" s="31" t="str">
        <f aca="false">'Dados completos'!O89</f>
        <v>Não indicado</v>
      </c>
      <c r="O81" s="28" t="str">
        <f aca="false">'Dados completos'!V89</f>
        <v>Alta</v>
      </c>
      <c r="P81" s="30" t="str">
        <f aca="false">IF('Dados completos'!R89="","n/d",IF('Dados completos'!R89='Dados completos'!S89,TEXT('Dados completos'!R89,"#,##0"),TEXT('Dados completos'!R89,"#,##0")&amp;", "&amp;TEXT('Dados completos'!S89,"#,##0")))</f>
        <v>1,500, 2,500</v>
      </c>
      <c r="Q81" s="30" t="str">
        <f aca="false">'Dados completos'!M89</f>
        <v>Francês e inglês (ver oferta)</v>
      </c>
      <c r="R81" s="30" t="str">
        <f aca="false">'Dados completos'!AJ89</f>
        <v>Língua-chave FR (exigência 0.8); experiência prévia em finanças valorizada, CV tem pouca; exige mestrado em curso ou convenção de estágio, risco.</v>
      </c>
      <c r="S81" s="30" t="str">
        <f aca="false">'Dados completos'!AK89</f>
        <v>Por confirmar</v>
      </c>
      <c r="T81" s="24" t="str">
        <f aca="false">'Dados completos'!AP89</f>
        <v>Parcial (agregador/título)</v>
      </c>
      <c r="U81" s="30" t="str">
        <f aca="false">'Dados completos'!AO89</f>
        <v>Direto (site/ATS da empresa)</v>
      </c>
      <c r="V81" s="32" t="str">
        <f aca="false">HYPERLINK('Dados completos'!AN89,"Abrir")</f>
        <v>Abrir</v>
      </c>
    </row>
    <row r="82" customFormat="false" ht="45.75" hidden="false" customHeight="true" outlineLevel="0" collapsed="false">
      <c r="A82" s="24" t="n">
        <f aca="false">'Dados completos'!A146</f>
        <v>143</v>
      </c>
      <c r="B82" s="25" t="str">
        <f aca="false">'Dados completos'!AL146</f>
        <v>Reserva</v>
      </c>
      <c r="C82" s="24" t="n">
        <f aca="false">'Dados completos'!Y146</f>
        <v>2.6</v>
      </c>
      <c r="D82" s="26" t="n">
        <f aca="false">'Dados completos'!AF146</f>
        <v>47.75</v>
      </c>
      <c r="E82" s="27" t="n">
        <f aca="false">'Dados completos'!AH146</f>
        <v>0.02919</v>
      </c>
      <c r="F82" s="28" t="str">
        <f aca="false">'Dados completos'!AI146</f>
        <v>Baixa</v>
      </c>
      <c r="G82" s="29" t="str">
        <f aca="false">'Dados completos'!B146</f>
        <v>Lincoln International</v>
      </c>
      <c r="H82" s="30" t="str">
        <f aca="false">'Dados completos'!C146</f>
        <v>Debt Advisory Internship, Março 2027</v>
      </c>
      <c r="I82" s="30" t="str">
        <f aca="false">'Dados completos'!E146</f>
        <v>Banca de investimento / boutique</v>
      </c>
      <c r="J82" s="24" t="str">
        <f aca="false">'Dados completos'!F146</f>
        <v>França</v>
      </c>
      <c r="K82" s="30" t="str">
        <f aca="false">'Dados completos'!G146</f>
        <v>Paris</v>
      </c>
      <c r="L82" s="30" t="str">
        <f aca="false">'Dados completos'!H146</f>
        <v>Não indicado (provável presencial)</v>
      </c>
      <c r="M82" s="30" t="str">
        <f aca="false">'Dados completos'!I146</f>
        <v>Mar 2027 (não é janeiro)</v>
      </c>
      <c r="N82" s="31" t="str">
        <f aca="false">'Dados completos'!O146</f>
        <v>Não indicado</v>
      </c>
      <c r="O82" s="28" t="str">
        <f aca="false">'Dados completos'!V146</f>
        <v>Alta</v>
      </c>
      <c r="P82" s="30" t="str">
        <f aca="false">IF('Dados completos'!R146="","n/d",IF('Dados completos'!R146='Dados completos'!S146,TEXT('Dados completos'!R146,"#,##0"),TEXT('Dados completos'!R146,"#,##0")&amp;", "&amp;TEXT('Dados completos'!S146,"#,##0")))</f>
        <v>1,500, 2,500</v>
      </c>
      <c r="Q82" s="30" t="str">
        <f aca="false">'Dados completos'!M146</f>
        <v>Francês e inglês (ver oferta)</v>
      </c>
      <c r="R82" s="30" t="str">
        <f aca="false">'Dados completos'!AJ146</f>
        <v>Língua-chave FR (exigência 0.5); experiência prévia em finanças valorizada, CV tem pouca; exige mestrado em curso ou convenção de estágio, risco.</v>
      </c>
      <c r="S82" s="30" t="str">
        <f aca="false">'Dados completos'!AK146</f>
        <v>Por confirmar</v>
      </c>
      <c r="T82" s="24" t="str">
        <f aca="false">'Dados completos'!AP146</f>
        <v>Parcial (agregador/título)</v>
      </c>
      <c r="U82" s="30" t="str">
        <f aca="false">'Dados completos'!AO146</f>
        <v>Direto (site/ATS da empresa)</v>
      </c>
      <c r="V82" s="32" t="str">
        <f aca="false">HYPERLINK('Dados completos'!AN146,"Abrir")</f>
        <v>Abrir</v>
      </c>
    </row>
    <row r="83" customFormat="false" ht="45.75" hidden="false" customHeight="true" outlineLevel="0" collapsed="false">
      <c r="A83" s="24" t="n">
        <f aca="false">'Dados completos'!A151</f>
        <v>148</v>
      </c>
      <c r="B83" s="25" t="str">
        <f aca="false">'Dados completos'!AL151</f>
        <v>Reserva</v>
      </c>
      <c r="C83" s="24" t="n">
        <f aca="false">'Dados completos'!Y151</f>
        <v>2.5</v>
      </c>
      <c r="D83" s="26" t="n">
        <f aca="false">'Dados completos'!AF151</f>
        <v>61.25</v>
      </c>
      <c r="E83" s="27" t="n">
        <f aca="false">'Dados completos'!AH151</f>
        <v>0.03405</v>
      </c>
      <c r="F83" s="28" t="str">
        <f aca="false">'Dados completos'!AI151</f>
        <v>Média</v>
      </c>
      <c r="G83" s="29" t="str">
        <f aca="false">'Dados completos'!B151</f>
        <v>Citi</v>
      </c>
      <c r="H83" s="30" t="str">
        <f aca="false">'Dados completos'!C151</f>
        <v>Banking, Corporate Banking Placement Analyst 2027, Jan-Jun (Amesterdão)</v>
      </c>
      <c r="I83" s="30" t="str">
        <f aca="false">'Dados completos'!E151</f>
        <v>Banca de investimento</v>
      </c>
      <c r="J83" s="24" t="str">
        <f aca="false">'Dados completos'!F151</f>
        <v>Países Baixos</v>
      </c>
      <c r="K83" s="30" t="str">
        <f aca="false">'Dados completos'!G151</f>
        <v>Amesterdão</v>
      </c>
      <c r="L83" s="30" t="str">
        <f aca="false">'Dados completos'!H151</f>
        <v>Não indicado (provável presencial)</v>
      </c>
      <c r="M83" s="30" t="str">
        <f aca="false">'Dados completos'!I151</f>
        <v>Jan-Jun 2027</v>
      </c>
      <c r="N83" s="31" t="str">
        <f aca="false">'Dados completos'!O151</f>
        <v>Não indicado</v>
      </c>
      <c r="O83" s="28" t="str">
        <f aca="false">'Dados completos'!V151</f>
        <v>Alta</v>
      </c>
      <c r="P83" s="30" t="str">
        <f aca="false">IF('Dados completos'!R151="","n/d",IF('Dados completos'!R151='Dados completos'!S151,TEXT('Dados completos'!R151,"#,##0"),TEXT('Dados completos'!R151,"#,##0")&amp;", "&amp;TEXT('Dados completos'!S151,"#,##0")))</f>
        <v>1,800, 2,500</v>
      </c>
      <c r="Q83" s="30" t="str">
        <f aca="false">'Dados completos'!M151</f>
        <v>Inglês (ver oferta)</v>
      </c>
      <c r="R83" s="30" t="str">
        <f aca="false">'Dados completos'!AJ151</f>
        <v>Língua-chave EN (exigência 0.5); experiência prévia em finanças valorizada, CV tem pouca; exige mestrado em curso ou convenção de estágio, risco.</v>
      </c>
      <c r="S83" s="30" t="str">
        <f aca="false">'Dados completos'!AK151</f>
        <v>Por confirmar</v>
      </c>
      <c r="T83" s="24" t="str">
        <f aca="false">'Dados completos'!AP151</f>
        <v>Parcial (agregador/título)</v>
      </c>
      <c r="U83" s="30" t="str">
        <f aca="false">'Dados completos'!AO151</f>
        <v>Direto (site/ATS da empresa)</v>
      </c>
      <c r="V83" s="32" t="str">
        <f aca="false">HYPERLINK('Dados completos'!AN151,"Abrir")</f>
        <v>Abrir</v>
      </c>
    </row>
    <row r="84" customFormat="false" ht="45.75" hidden="false" customHeight="true" outlineLevel="0" collapsed="false">
      <c r="A84" s="24" t="n">
        <f aca="false">'Dados completos'!A159</f>
        <v>156</v>
      </c>
      <c r="B84" s="25" t="str">
        <f aca="false">'Dados completos'!AL159</f>
        <v>Reserva</v>
      </c>
      <c r="C84" s="24" t="n">
        <f aca="false">'Dados completos'!Y159</f>
        <v>2.5</v>
      </c>
      <c r="D84" s="26" t="n">
        <f aca="false">'Dados completos'!AF159</f>
        <v>61</v>
      </c>
      <c r="E84" s="27" t="n">
        <f aca="false">'Dados completos'!AH159</f>
        <v>0.03396</v>
      </c>
      <c r="F84" s="28" t="str">
        <f aca="false">'Dados completos'!AI159</f>
        <v>Média</v>
      </c>
      <c r="G84" s="29" t="str">
        <f aca="false">'Dados completos'!B159</f>
        <v>Eurazeo</v>
      </c>
      <c r="H84" s="30" t="str">
        <f aca="false">'Dados completos'!C159</f>
        <v>Internship, Investor Relations, Direct Transactions (Paris, S1 2027)</v>
      </c>
      <c r="I84" s="30" t="str">
        <f aca="false">'Dados completos'!E159</f>
        <v>VC / private equity</v>
      </c>
      <c r="J84" s="24" t="str">
        <f aca="false">'Dados completos'!F159</f>
        <v>França</v>
      </c>
      <c r="K84" s="30" t="str">
        <f aca="false">'Dados completos'!G159</f>
        <v>Paris</v>
      </c>
      <c r="L84" s="30" t="str">
        <f aca="false">'Dados completos'!H159</f>
        <v>Não indicado (provável presencial)</v>
      </c>
      <c r="M84" s="30" t="str">
        <f aca="false">'Dados completos'!I159</f>
        <v>Jan 2027 (S1)</v>
      </c>
      <c r="N84" s="31" t="str">
        <f aca="false">'Dados completos'!O159</f>
        <v>Não indicado</v>
      </c>
      <c r="O84" s="28" t="str">
        <f aca="false">'Dados completos'!V159</f>
        <v>Alta</v>
      </c>
      <c r="P84" s="30" t="str">
        <f aca="false">IF('Dados completos'!R159="","n/d",IF('Dados completos'!R159='Dados completos'!S159,TEXT('Dados completos'!R159,"#,##0"),TEXT('Dados completos'!R159,"#,##0")&amp;", "&amp;TEXT('Dados completos'!S159,"#,##0")))</f>
        <v>1,500, 2,500</v>
      </c>
      <c r="Q84" s="30" t="str">
        <f aca="false">'Dados completos'!M159</f>
        <v>Inglês (ver oferta)</v>
      </c>
      <c r="R84" s="30" t="str">
        <f aca="false">'Dados completos'!AJ159</f>
        <v>Língua-chave EN (exigência 1); experiência prévia em finanças valorizada, CV tem pouca; exige mestrado em curso ou convenção de estágio, risco.</v>
      </c>
      <c r="S84" s="30" t="str">
        <f aca="false">'Dados completos'!AK159</f>
        <v>Por confirmar</v>
      </c>
      <c r="T84" s="24" t="str">
        <f aca="false">'Dados completos'!AP159</f>
        <v>Parcial (agregador/título)</v>
      </c>
      <c r="U84" s="30" t="str">
        <f aca="false">'Dados completos'!AO159</f>
        <v>Anúncio em plataforma</v>
      </c>
      <c r="V84" s="32" t="str">
        <f aca="false">HYPERLINK('Dados completos'!AN159,"Abrir")</f>
        <v>Abrir</v>
      </c>
    </row>
    <row r="85" customFormat="false" ht="45.75" hidden="false" customHeight="true" outlineLevel="0" collapsed="false">
      <c r="A85" s="24" t="n">
        <f aca="false">'Dados completos'!A60</f>
        <v>57</v>
      </c>
      <c r="B85" s="25" t="str">
        <f aca="false">'Dados completos'!AL60</f>
        <v>Candidatar (reach)</v>
      </c>
      <c r="C85" s="24" t="n">
        <f aca="false">'Dados completos'!Y60</f>
        <v>3.1</v>
      </c>
      <c r="D85" s="26" t="n">
        <f aca="false">'Dados completos'!AF60</f>
        <v>28.5</v>
      </c>
      <c r="E85" s="27" t="n">
        <f aca="false">'Dados completos'!AH60</f>
        <v>0.02226</v>
      </c>
      <c r="F85" s="28" t="str">
        <f aca="false">'Dados completos'!AI60</f>
        <v>Baixa</v>
      </c>
      <c r="G85" s="29" t="str">
        <f aca="false">'Dados completos'!B60</f>
        <v>Rothschild &amp; Co</v>
      </c>
      <c r="H85" s="30" t="str">
        <f aca="false">'Dados completos'!C60</f>
        <v>Stage Private Equity Banque Privée, Janvier 2027</v>
      </c>
      <c r="I85" s="30" t="str">
        <f aca="false">'Dados completos'!E60</f>
        <v>Banca de investimento / boutique</v>
      </c>
      <c r="J85" s="24" t="str">
        <f aca="false">'Dados completos'!F60</f>
        <v>França</v>
      </c>
      <c r="K85" s="30" t="str">
        <f aca="false">'Dados completos'!G60</f>
        <v>Paris</v>
      </c>
      <c r="L85" s="30" t="str">
        <f aca="false">'Dados completos'!H60</f>
        <v>Não indicado (provável presencial)</v>
      </c>
      <c r="M85" s="30" t="str">
        <f aca="false">'Dados completos'!I60</f>
        <v>Jan 2027</v>
      </c>
      <c r="N85" s="31" t="str">
        <f aca="false">'Dados completos'!O60</f>
        <v>Não indicado</v>
      </c>
      <c r="O85" s="28" t="str">
        <f aca="false">'Dados completos'!V60</f>
        <v>Alta</v>
      </c>
      <c r="P85" s="30" t="str">
        <f aca="false">IF('Dados completos'!R60="","n/d",IF('Dados completos'!R60='Dados completos'!S60,TEXT('Dados completos'!R60,"#,##0"),TEXT('Dados completos'!R60,"#,##0")&amp;", "&amp;TEXT('Dados completos'!S60,"#,##0")))</f>
        <v>1,500, 2,500</v>
      </c>
      <c r="Q85" s="30" t="str">
        <f aca="false">'Dados completos'!M60</f>
        <v>Francês e inglês (ver oferta)</v>
      </c>
      <c r="R85" s="30" t="str">
        <f aca="false">'Dados completos'!AJ60</f>
        <v>Língua-chave FR (exigência 1); experiência prévia em finanças valorizada, CV tem pouca; exige mestrado em curso ou convenção de estágio, risco.</v>
      </c>
      <c r="S85" s="30" t="str">
        <f aca="false">'Dados completos'!AK60</f>
        <v>Por confirmar</v>
      </c>
      <c r="T85" s="24" t="str">
        <f aca="false">'Dados completos'!AP60</f>
        <v>Parcial (agregador/título)</v>
      </c>
      <c r="U85" s="30" t="str">
        <f aca="false">'Dados completos'!AO60</f>
        <v>Direto (site/ATS da empresa)</v>
      </c>
      <c r="V85" s="32" t="str">
        <f aca="false">HYPERLINK('Dados completos'!AN60,"Abrir")</f>
        <v>Abrir</v>
      </c>
    </row>
    <row r="86" customFormat="false" ht="45.75" hidden="false" customHeight="true" outlineLevel="0" collapsed="false">
      <c r="A86" s="24" t="n">
        <f aca="false">'Dados completos'!A61</f>
        <v>58</v>
      </c>
      <c r="B86" s="25" t="str">
        <f aca="false">'Dados completos'!AL61</f>
        <v>Candidatar (reach)</v>
      </c>
      <c r="C86" s="24" t="n">
        <f aca="false">'Dados completos'!Y61</f>
        <v>3.1</v>
      </c>
      <c r="D86" s="26" t="n">
        <f aca="false">'Dados completos'!AF61</f>
        <v>28.5</v>
      </c>
      <c r="E86" s="27" t="n">
        <f aca="false">'Dados completos'!AH61</f>
        <v>0.02226</v>
      </c>
      <c r="F86" s="28" t="str">
        <f aca="false">'Dados completos'!AI61</f>
        <v>Baixa</v>
      </c>
      <c r="G86" s="29" t="str">
        <f aca="false">'Dados completos'!B61</f>
        <v>Rothschild &amp; Co</v>
      </c>
      <c r="H86" s="30" t="str">
        <f aca="false">'Dados completos'!C61</f>
        <v>Stage Mandat Private Equity Banque Privée, Janvier 2027</v>
      </c>
      <c r="I86" s="30" t="str">
        <f aca="false">'Dados completos'!E61</f>
        <v>Banca de investimento / boutique</v>
      </c>
      <c r="J86" s="24" t="str">
        <f aca="false">'Dados completos'!F61</f>
        <v>França</v>
      </c>
      <c r="K86" s="30" t="str">
        <f aca="false">'Dados completos'!G61</f>
        <v>Paris</v>
      </c>
      <c r="L86" s="30" t="str">
        <f aca="false">'Dados completos'!H61</f>
        <v>Não indicado (provável presencial)</v>
      </c>
      <c r="M86" s="30" t="str">
        <f aca="false">'Dados completos'!I61</f>
        <v>Jan 2027</v>
      </c>
      <c r="N86" s="31" t="str">
        <f aca="false">'Dados completos'!O61</f>
        <v>Não indicado</v>
      </c>
      <c r="O86" s="28" t="str">
        <f aca="false">'Dados completos'!V61</f>
        <v>Alta</v>
      </c>
      <c r="P86" s="30" t="str">
        <f aca="false">IF('Dados completos'!R61="","n/d",IF('Dados completos'!R61='Dados completos'!S61,TEXT('Dados completos'!R61,"#,##0"),TEXT('Dados completos'!R61,"#,##0")&amp;", "&amp;TEXT('Dados completos'!S61,"#,##0")))</f>
        <v>1,500, 2,500</v>
      </c>
      <c r="Q86" s="30" t="str">
        <f aca="false">'Dados completos'!M61</f>
        <v>Francês e inglês (ver oferta)</v>
      </c>
      <c r="R86" s="30" t="str">
        <f aca="false">'Dados completos'!AJ61</f>
        <v>Língua-chave FR (exigência 1); experiência prévia em finanças valorizada, CV tem pouca; exige mestrado em curso ou convenção de estágio, risco.</v>
      </c>
      <c r="S86" s="30" t="str">
        <f aca="false">'Dados completos'!AK61</f>
        <v>Por confirmar</v>
      </c>
      <c r="T86" s="24" t="str">
        <f aca="false">'Dados completos'!AP61</f>
        <v>Parcial (agregador/título)</v>
      </c>
      <c r="U86" s="30" t="str">
        <f aca="false">'Dados completos'!AO61</f>
        <v>Direto (site/ATS da empresa)</v>
      </c>
      <c r="V86" s="32" t="str">
        <f aca="false">HYPERLINK('Dados completos'!AN61,"Abrir")</f>
        <v>Abrir</v>
      </c>
    </row>
    <row r="87" customFormat="false" ht="45.75" hidden="false" customHeight="true" outlineLevel="0" collapsed="false">
      <c r="A87" s="24" t="n">
        <f aca="false">'Dados completos'!A50</f>
        <v>47</v>
      </c>
      <c r="B87" s="25" t="str">
        <f aca="false">'Dados completos'!AL50</f>
        <v>Reserva</v>
      </c>
      <c r="C87" s="24" t="n">
        <f aca="false">'Dados completos'!Y50</f>
        <v>2.4</v>
      </c>
      <c r="D87" s="26" t="n">
        <f aca="false">'Dados completos'!AF50</f>
        <v>56.95</v>
      </c>
      <c r="E87" s="27" t="n">
        <f aca="false">'Dados completos'!AH50</f>
        <v>0.032502</v>
      </c>
      <c r="F87" s="28" t="str">
        <f aca="false">'Dados completos'!AI50</f>
        <v>Média</v>
      </c>
      <c r="G87" s="29" t="str">
        <f aca="false">'Dados completos'!B50</f>
        <v>Ardian</v>
      </c>
      <c r="H87" s="30" t="str">
        <f aca="false">'Dados completos'!C50</f>
        <v>Fund Finance, Secondaries &amp; Primaries Intern, February 2027</v>
      </c>
      <c r="I87" s="30" t="str">
        <f aca="false">'Dados completos'!E50</f>
        <v>VC / private equity</v>
      </c>
      <c r="J87" s="24" t="str">
        <f aca="false">'Dados completos'!F50</f>
        <v>Suíça</v>
      </c>
      <c r="K87" s="30" t="str">
        <f aca="false">'Dados completos'!G50</f>
        <v>Zurique</v>
      </c>
      <c r="L87" s="30" t="str">
        <f aca="false">'Dados completos'!H50</f>
        <v>Não indicado (provável presencial)</v>
      </c>
      <c r="M87" s="30" t="str">
        <f aca="false">'Dados completos'!I50</f>
        <v>Fev 2027</v>
      </c>
      <c r="N87" s="31" t="str">
        <f aca="false">'Dados completos'!O50</f>
        <v>Não indicado</v>
      </c>
      <c r="O87" s="28" t="str">
        <f aca="false">'Dados completos'!V50</f>
        <v>Alta</v>
      </c>
      <c r="P87" s="30" t="str">
        <f aca="false">IF('Dados completos'!R50="","n/d",IF('Dados completos'!R50='Dados completos'!S50,TEXT('Dados completos'!R50,"#,##0"),TEXT('Dados completos'!R50,"#,##0")&amp;", "&amp;TEXT('Dados completos'!S50,"#,##0")))</f>
        <v>3,000, 4,500</v>
      </c>
      <c r="Q87" s="30" t="str">
        <f aca="false">'Dados completos'!M50</f>
        <v>Inglês (ver oferta)</v>
      </c>
      <c r="R87" s="30" t="str">
        <f aca="false">'Dados completos'!AJ50</f>
        <v>Língua-chave DE (exigência 0.3); experiência prévia em finanças valorizada, CV tem pouca; exige mestrado em curso ou convenção de estágio, risco.</v>
      </c>
      <c r="S87" s="30" t="str">
        <f aca="false">'Dados completos'!AK50</f>
        <v>Por confirmar</v>
      </c>
      <c r="T87" s="24" t="str">
        <f aca="false">'Dados completos'!AP50</f>
        <v>Parcial (agregador/título)</v>
      </c>
      <c r="U87" s="30" t="str">
        <f aca="false">'Dados completos'!AO50</f>
        <v>Direto (site/ATS da empresa)</v>
      </c>
      <c r="V87" s="32" t="str">
        <f aca="false">HYPERLINK('Dados completos'!AN50,"Abrir")</f>
        <v>Abrir</v>
      </c>
    </row>
    <row r="88" customFormat="false" ht="45.75" hidden="false" customHeight="true" outlineLevel="0" collapsed="false">
      <c r="A88" s="24" t="n">
        <f aca="false">'Dados completos'!A95</f>
        <v>92</v>
      </c>
      <c r="B88" s="25" t="str">
        <f aca="false">'Dados completos'!AL95</f>
        <v>Reserva</v>
      </c>
      <c r="C88" s="24" t="n">
        <f aca="false">'Dados completos'!Y95</f>
        <v>2.8</v>
      </c>
      <c r="D88" s="26" t="n">
        <f aca="false">'Dados completos'!AF95</f>
        <v>34.35</v>
      </c>
      <c r="E88" s="27" t="n">
        <f aca="false">'Dados completos'!AH95</f>
        <v>0.024366</v>
      </c>
      <c r="F88" s="28" t="str">
        <f aca="false">'Dados completos'!AI95</f>
        <v>Baixa</v>
      </c>
      <c r="G88" s="29" t="str">
        <f aca="false">'Dados completos'!B95</f>
        <v>Oddo BHF</v>
      </c>
      <c r="H88" s="30" t="str">
        <f aca="false">'Dados completos'!C95</f>
        <v>Stage Corporate Development / M&amp;A, Janvier 2027</v>
      </c>
      <c r="I88" s="30" t="str">
        <f aca="false">'Dados completos'!E95</f>
        <v>Banca de investimento / boutique</v>
      </c>
      <c r="J88" s="24" t="str">
        <f aca="false">'Dados completos'!F95</f>
        <v>França</v>
      </c>
      <c r="K88" s="30" t="str">
        <f aca="false">'Dados completos'!G95</f>
        <v>Paris</v>
      </c>
      <c r="L88" s="30" t="str">
        <f aca="false">'Dados completos'!H95</f>
        <v>Não indicado (provável presencial)</v>
      </c>
      <c r="M88" s="30" t="str">
        <f aca="false">'Dados completos'!I95</f>
        <v>Jan 2027</v>
      </c>
      <c r="N88" s="31" t="str">
        <f aca="false">'Dados completos'!O95</f>
        <v>Não indicado</v>
      </c>
      <c r="O88" s="28" t="str">
        <f aca="false">'Dados completos'!V95</f>
        <v>Alta</v>
      </c>
      <c r="P88" s="30" t="str">
        <f aca="false">IF('Dados completos'!R95="","n/d",IF('Dados completos'!R95='Dados completos'!S95,TEXT('Dados completos'!R95,"#,##0"),TEXT('Dados completos'!R95,"#,##0")&amp;", "&amp;TEXT('Dados completos'!S95,"#,##0")))</f>
        <v>1,500, 2,500</v>
      </c>
      <c r="Q88" s="30" t="str">
        <f aca="false">'Dados completos'!M95</f>
        <v>Francês e inglês (ver oferta)</v>
      </c>
      <c r="R88" s="30" t="str">
        <f aca="false">'Dados completos'!AJ95</f>
        <v>Língua-chave FR (exigência 0.9); experiência prévia em finanças valorizada, CV tem pouca; exige mestrado em curso ou convenção de estágio, risco.</v>
      </c>
      <c r="S88" s="30" t="str">
        <f aca="false">'Dados completos'!AK95</f>
        <v>Por confirmar</v>
      </c>
      <c r="T88" s="24" t="str">
        <f aca="false">'Dados completos'!AP95</f>
        <v>Parcial (agregador/título)</v>
      </c>
      <c r="U88" s="30" t="str">
        <f aca="false">'Dados completos'!AO95</f>
        <v>Anúncio em plataforma</v>
      </c>
      <c r="V88" s="32" t="str">
        <f aca="false">HYPERLINK('Dados completos'!AN95,"Abrir")</f>
        <v>Abrir</v>
      </c>
    </row>
    <row r="89" customFormat="false" ht="45.75" hidden="false" customHeight="true" outlineLevel="0" collapsed="false">
      <c r="A89" s="24" t="n">
        <f aca="false">'Dados completos'!A103</f>
        <v>100</v>
      </c>
      <c r="B89" s="25" t="str">
        <f aca="false">'Dados completos'!AL103</f>
        <v>Reserva</v>
      </c>
      <c r="C89" s="24" t="n">
        <f aca="false">'Dados completos'!Y103</f>
        <v>2.4</v>
      </c>
      <c r="D89" s="26" t="n">
        <f aca="false">'Dados completos'!AF103</f>
        <v>53.6</v>
      </c>
      <c r="E89" s="27" t="n">
        <f aca="false">'Dados completos'!AH103</f>
        <v>0.031296</v>
      </c>
      <c r="F89" s="28" t="str">
        <f aca="false">'Dados completos'!AI103</f>
        <v>Média</v>
      </c>
      <c r="G89" s="29" t="str">
        <f aca="false">'Dados completos'!B103</f>
        <v>Barclays</v>
      </c>
      <c r="H89" s="30" t="str">
        <f aca="false">'Dados completos'!C103</f>
        <v>International Corporate Banking Off-Cycle Internship 2027 (Frankfurt)</v>
      </c>
      <c r="I89" s="30" t="str">
        <f aca="false">'Dados completos'!E103</f>
        <v>Banca de investimento</v>
      </c>
      <c r="J89" s="24" t="str">
        <f aca="false">'Dados completos'!F103</f>
        <v>Alemanha</v>
      </c>
      <c r="K89" s="30" t="str">
        <f aca="false">'Dados completos'!G103</f>
        <v>Frankfurt</v>
      </c>
      <c r="L89" s="30" t="str">
        <f aca="false">'Dados completos'!H103</f>
        <v>Não indicado (provável presencial)</v>
      </c>
      <c r="M89" s="30" t="str">
        <f aca="false">'Dados completos'!I103</f>
        <v>2027 (mês por confirmar)</v>
      </c>
      <c r="N89" s="31" t="str">
        <f aca="false">'Dados completos'!O103</f>
        <v>Não indicado</v>
      </c>
      <c r="O89" s="28" t="str">
        <f aca="false">'Dados completos'!V103</f>
        <v>Alta</v>
      </c>
      <c r="P89" s="30" t="str">
        <f aca="false">IF('Dados completos'!R103="","n/d",IF('Dados completos'!R103='Dados completos'!S103,TEXT('Dados completos'!R103,"#,##0"),TEXT('Dados completos'!R103,"#,##0")&amp;", "&amp;TEXT('Dados completos'!S103,"#,##0")))</f>
        <v>1,800, 2,800</v>
      </c>
      <c r="Q89" s="30" t="str">
        <f aca="false">'Dados completos'!M103</f>
        <v>Inglês (ver oferta)</v>
      </c>
      <c r="R89" s="30" t="str">
        <f aca="false">'Dados completos'!AJ103</f>
        <v>Língua-chave DE (exigência 0.4); experiência prévia em finanças valorizada, CV tem pouca; exige mestrado em curso ou convenção de estágio, risco.</v>
      </c>
      <c r="S89" s="30" t="str">
        <f aca="false">'Dados completos'!AK103</f>
        <v>Por confirmar</v>
      </c>
      <c r="T89" s="24" t="str">
        <f aca="false">'Dados completos'!AP103</f>
        <v>Parcial (agregador/título)</v>
      </c>
      <c r="U89" s="30" t="str">
        <f aca="false">'Dados completos'!AO103</f>
        <v>Direto (site/ATS da empresa)</v>
      </c>
      <c r="V89" s="32" t="str">
        <f aca="false">HYPERLINK('Dados completos'!AN103,"Abrir")</f>
        <v>Abrir</v>
      </c>
    </row>
    <row r="90" customFormat="false" ht="45.75" hidden="false" customHeight="true" outlineLevel="0" collapsed="false">
      <c r="A90" s="24" t="n">
        <f aca="false">'Dados completos'!A169</f>
        <v>166</v>
      </c>
      <c r="B90" s="25" t="str">
        <f aca="false">'Dados completos'!AL169</f>
        <v>Reserva</v>
      </c>
      <c r="C90" s="24" t="n">
        <f aca="false">'Dados completos'!Y169</f>
        <v>2.6</v>
      </c>
      <c r="D90" s="26" t="n">
        <f aca="false">'Dados completos'!AF169</f>
        <v>92.5</v>
      </c>
      <c r="E90" s="27" t="n">
        <f aca="false">'Dados completos'!AH169</f>
        <v>0.0453</v>
      </c>
      <c r="F90" s="28" t="str">
        <f aca="false">'Dados completos'!AI169</f>
        <v>Média</v>
      </c>
      <c r="G90" s="29" t="str">
        <f aca="false">'Dados completos'!B169</f>
        <v>TAP Air Portugal</v>
      </c>
      <c r="H90" s="30" t="str">
        <f aca="false">'Dados completos'!C169</f>
        <v>First Flight, estágio profissional (vertente corporativa)</v>
      </c>
      <c r="I90" s="30" t="str">
        <f aca="false">'Dados completos'!E169</f>
        <v>Big corporate</v>
      </c>
      <c r="J90" s="24" t="str">
        <f aca="false">'Dados completos'!F169</f>
        <v>Portugal</v>
      </c>
      <c r="K90" s="30" t="str">
        <f aca="false">'Dados completos'!G169</f>
        <v>Lisboa</v>
      </c>
      <c r="L90" s="30" t="str">
        <f aca="false">'Dados completos'!H169</f>
        <v>Não indicado (provável presencial)</v>
      </c>
      <c r="M90" s="30" t="str">
        <f aca="false">'Dados completos'!I169</f>
        <v>Não indicado</v>
      </c>
      <c r="N90" s="31" t="str">
        <f aca="false">'Dados completos'!O169</f>
        <v>Não indicado</v>
      </c>
      <c r="O90" s="28" t="str">
        <f aca="false">'Dados completos'!V169</f>
        <v>Alta</v>
      </c>
      <c r="P90" s="30" t="str">
        <f aca="false">IF('Dados completos'!R169="","n/d",IF('Dados completos'!R169='Dados completos'!S169,TEXT('Dados completos'!R169,"#,##0"),TEXT('Dados completos'!R169,"#,##0")&amp;", "&amp;TEXT('Dados completos'!S169,"#,##0")))</f>
        <v>1,100, 1,500</v>
      </c>
      <c r="Q90" s="30" t="str">
        <f aca="false">'Dados completos'!M169</f>
        <v>Inglês (ver oferta)</v>
      </c>
      <c r="R90" s="30" t="str">
        <f aca="false">'Dados completos'!AJ169</f>
        <v>Língua-chave PT (exigência 0.3); não exige experiência prévia em finanças; aceita recém-licenciadas.</v>
      </c>
      <c r="S90" s="30" t="str">
        <f aca="false">'Dados completos'!AK169</f>
        <v>Por confirmar</v>
      </c>
      <c r="T90" s="24" t="str">
        <f aca="false">'Dados completos'!AP169</f>
        <v>Parcial (agregador/título)</v>
      </c>
      <c r="U90" s="30" t="str">
        <f aca="false">'Dados completos'!AO169</f>
        <v>Página de carreiras (procurar a vaga)</v>
      </c>
      <c r="V90" s="32" t="str">
        <f aca="false">HYPERLINK('Dados completos'!AN169,"Abrir")</f>
        <v>Abrir</v>
      </c>
    </row>
    <row r="91" customFormat="false" ht="45.75" hidden="false" customHeight="true" outlineLevel="0" collapsed="false">
      <c r="A91" s="24" t="n">
        <f aca="false">'Dados completos'!A148</f>
        <v>145</v>
      </c>
      <c r="B91" s="25" t="str">
        <f aca="false">'Dados completos'!AL148</f>
        <v>Reserva</v>
      </c>
      <c r="C91" s="24" t="n">
        <f aca="false">'Dados completos'!Y148</f>
        <v>2.2</v>
      </c>
      <c r="D91" s="26" t="n">
        <f aca="false">'Dados completos'!AF148</f>
        <v>63.95</v>
      </c>
      <c r="E91" s="27" t="n">
        <f aca="false">'Dados completos'!AH148</f>
        <v>0.035022</v>
      </c>
      <c r="F91" s="28" t="str">
        <f aca="false">'Dados completos'!AI148</f>
        <v>Média</v>
      </c>
      <c r="G91" s="29" t="str">
        <f aca="false">'Dados completos'!B148</f>
        <v>MUFG</v>
      </c>
      <c r="H91" s="30" t="str">
        <f aca="false">'Dados completos'!C148</f>
        <v>2027 6-Month Internship, Japanese Corporate Banking Division (Amesterdão)</v>
      </c>
      <c r="I91" s="30" t="str">
        <f aca="false">'Dados completos'!E148</f>
        <v>Banca de investimento</v>
      </c>
      <c r="J91" s="24" t="str">
        <f aca="false">'Dados completos'!F148</f>
        <v>Países Baixos</v>
      </c>
      <c r="K91" s="30" t="str">
        <f aca="false">'Dados completos'!G148</f>
        <v>Amesterdão</v>
      </c>
      <c r="L91" s="30" t="str">
        <f aca="false">'Dados completos'!H148</f>
        <v>Não indicado (provável presencial)</v>
      </c>
      <c r="M91" s="30" t="str">
        <f aca="false">'Dados completos'!I148</f>
        <v>2027 (mês por confirmar)</v>
      </c>
      <c r="N91" s="31" t="n">
        <f aca="false">'Dados completos'!O148</f>
        <v>46341</v>
      </c>
      <c r="O91" s="28" t="str">
        <f aca="false">'Dados completos'!V148</f>
        <v>Alta</v>
      </c>
      <c r="P91" s="30" t="str">
        <f aca="false">IF('Dados completos'!R148="","n/d",IF('Dados completos'!R148='Dados completos'!S148,TEXT('Dados completos'!R148,"#,##0"),TEXT('Dados completos'!R148,"#,##0")&amp;", "&amp;TEXT('Dados completos'!S148,"#,##0")))</f>
        <v>1,800, 2,500</v>
      </c>
      <c r="Q91" s="30" t="str">
        <f aca="false">'Dados completos'!M148</f>
        <v>Inglês (ver oferta)</v>
      </c>
      <c r="R91" s="30" t="str">
        <f aca="false">'Dados completos'!AJ148</f>
        <v>Língua-chave EN (exigência 0.7); experiência prévia em finanças valorizada, CV tem pouca; exige mestrado em curso ou convenção de estágio, risco.</v>
      </c>
      <c r="S91" s="30" t="str">
        <f aca="false">'Dados completos'!AK148</f>
        <v>Aberta, prazo definido</v>
      </c>
      <c r="T91" s="24" t="str">
        <f aca="false">'Dados completos'!AP148</f>
        <v>Parcial (agregador/título)</v>
      </c>
      <c r="U91" s="30" t="str">
        <f aca="false">'Dados completos'!AO148</f>
        <v>Direto (site/ATS da empresa)</v>
      </c>
      <c r="V91" s="32" t="str">
        <f aca="false">HYPERLINK('Dados completos'!AN148,"Abrir")</f>
        <v>Abrir</v>
      </c>
    </row>
    <row r="92" customFormat="false" ht="45.75" hidden="false" customHeight="true" outlineLevel="0" collapsed="false">
      <c r="A92" s="24" t="n">
        <f aca="false">'Dados completos'!A139</f>
        <v>136</v>
      </c>
      <c r="B92" s="25" t="str">
        <f aca="false">'Dados completos'!AL139</f>
        <v>Reserva</v>
      </c>
      <c r="C92" s="24" t="n">
        <f aca="false">'Dados completos'!Y139</f>
        <v>2.3</v>
      </c>
      <c r="D92" s="26" t="n">
        <f aca="false">'Dados completos'!AF139</f>
        <v>47.3</v>
      </c>
      <c r="E92" s="27" t="n">
        <f aca="false">'Dados completos'!AH139</f>
        <v>0.029028</v>
      </c>
      <c r="F92" s="28" t="str">
        <f aca="false">'Dados completos'!AI139</f>
        <v>Baixa</v>
      </c>
      <c r="G92" s="29" t="str">
        <f aca="false">'Dados completos'!B139</f>
        <v>Mediobanca</v>
      </c>
      <c r="H92" s="30" t="str">
        <f aca="false">'Dados completos'!C139</f>
        <v>Off-cycle Internship DCM &amp; Financing (Milão)</v>
      </c>
      <c r="I92" s="30" t="str">
        <f aca="false">'Dados completos'!E139</f>
        <v>Banca de investimento / boutique</v>
      </c>
      <c r="J92" s="24" t="str">
        <f aca="false">'Dados completos'!F139</f>
        <v>Itália</v>
      </c>
      <c r="K92" s="30" t="str">
        <f aca="false">'Dados completos'!G139</f>
        <v>Milão</v>
      </c>
      <c r="L92" s="30" t="str">
        <f aca="false">'Dados completos'!H139</f>
        <v>Não indicado (provável presencial)</v>
      </c>
      <c r="M92" s="30" t="str">
        <f aca="false">'Dados completos'!I139</f>
        <v>Por confirmar</v>
      </c>
      <c r="N92" s="31" t="str">
        <f aca="false">'Dados completos'!O139</f>
        <v>Não indicado</v>
      </c>
      <c r="O92" s="28" t="str">
        <f aca="false">'Dados completos'!V139</f>
        <v>Alta</v>
      </c>
      <c r="P92" s="30" t="str">
        <f aca="false">IF('Dados completos'!R139="","n/d",IF('Dados completos'!R139='Dados completos'!S139,TEXT('Dados completos'!R139,"#,##0"),TEXT('Dados completos'!R139,"#,##0")&amp;", "&amp;TEXT('Dados completos'!S139,"#,##0")))</f>
        <v>800, 1,500</v>
      </c>
      <c r="Q92" s="30" t="str">
        <f aca="false">'Dados completos'!M139</f>
        <v>Italiano e inglês (ver oferta)</v>
      </c>
      <c r="R92" s="30" t="str">
        <f aca="false">'Dados completos'!AJ139</f>
        <v>Língua-chave IT (exigência 0.7); experiência prévia em finanças valorizada, CV tem pouca; exige mestrado em curso ou convenção de estágio, risco.</v>
      </c>
      <c r="S92" s="30" t="str">
        <f aca="false">'Dados completos'!AK139</f>
        <v>Por confirmar</v>
      </c>
      <c r="T92" s="24" t="str">
        <f aca="false">'Dados completos'!AP139</f>
        <v>Parcial (agregador/título)</v>
      </c>
      <c r="U92" s="30" t="str">
        <f aca="false">'Dados completos'!AO139</f>
        <v>Direto (site/ATS da empresa)</v>
      </c>
      <c r="V92" s="32" t="str">
        <f aca="false">HYPERLINK('Dados completos'!AN139,"Abrir")</f>
        <v>Abrir</v>
      </c>
    </row>
    <row r="93" customFormat="false" ht="45.75" hidden="false" customHeight="true" outlineLevel="0" collapsed="false">
      <c r="A93" s="24" t="n">
        <f aca="false">'Dados completos'!A147</f>
        <v>144</v>
      </c>
      <c r="B93" s="25" t="str">
        <f aca="false">'Dados completos'!AL147</f>
        <v>Reserva</v>
      </c>
      <c r="C93" s="24" t="n">
        <f aca="false">'Dados completos'!Y147</f>
        <v>2.3</v>
      </c>
      <c r="D93" s="26" t="n">
        <f aca="false">'Dados completos'!AF147</f>
        <v>44.9</v>
      </c>
      <c r="E93" s="27" t="n">
        <f aca="false">'Dados completos'!AH147</f>
        <v>0.028164</v>
      </c>
      <c r="F93" s="28" t="str">
        <f aca="false">'Dados completos'!AI147</f>
        <v>Baixa</v>
      </c>
      <c r="G93" s="29" t="str">
        <f aca="false">'Dados completos'!B147</f>
        <v>MUFG</v>
      </c>
      <c r="H93" s="30" t="str">
        <f aca="false">'Dados completos'!C147</f>
        <v>6-month Internship, Debt Capital Markets Bonds &amp; Loans, January 2027 (Paris)</v>
      </c>
      <c r="I93" s="30" t="str">
        <f aca="false">'Dados completos'!E147</f>
        <v>Banca de investimento</v>
      </c>
      <c r="J93" s="24" t="str">
        <f aca="false">'Dados completos'!F147</f>
        <v>França</v>
      </c>
      <c r="K93" s="30" t="str">
        <f aca="false">'Dados completos'!G147</f>
        <v>Paris</v>
      </c>
      <c r="L93" s="30" t="str">
        <f aca="false">'Dados completos'!H147</f>
        <v>Não indicado (provável presencial)</v>
      </c>
      <c r="M93" s="30" t="str">
        <f aca="false">'Dados completos'!I147</f>
        <v>Jan 2027</v>
      </c>
      <c r="N93" s="31" t="str">
        <f aca="false">'Dados completos'!O147</f>
        <v>Não indicado</v>
      </c>
      <c r="O93" s="28" t="str">
        <f aca="false">'Dados completos'!V147</f>
        <v>Alta</v>
      </c>
      <c r="P93" s="30" t="str">
        <f aca="false">IF('Dados completos'!R147="","n/d",IF('Dados completos'!R147='Dados completos'!S147,TEXT('Dados completos'!R147,"#,##0"),TEXT('Dados completos'!R147,"#,##0")&amp;", "&amp;TEXT('Dados completos'!S147,"#,##0")))</f>
        <v>1,500, 2,500</v>
      </c>
      <c r="Q93" s="30" t="str">
        <f aca="false">'Dados completos'!M147</f>
        <v>Francês e inglês (ver oferta)</v>
      </c>
      <c r="R93" s="30" t="str">
        <f aca="false">'Dados completos'!AJ147</f>
        <v>Língua-chave FR (exigência 0.6); experiência prévia em finanças valorizada, CV tem pouca; exige mestrado em curso ou convenção de estágio, risco.</v>
      </c>
      <c r="S93" s="30" t="str">
        <f aca="false">'Dados completos'!AK147</f>
        <v>Por confirmar</v>
      </c>
      <c r="T93" s="24" t="str">
        <f aca="false">'Dados completos'!AP147</f>
        <v>Parcial (agregador/título)</v>
      </c>
      <c r="U93" s="30" t="str">
        <f aca="false">'Dados completos'!AO147</f>
        <v>Direto (site/ATS da empresa)</v>
      </c>
      <c r="V93" s="32" t="str">
        <f aca="false">HYPERLINK('Dados completos'!AN147,"Abrir")</f>
        <v>Abrir</v>
      </c>
    </row>
    <row r="94" customFormat="false" ht="45.75" hidden="false" customHeight="true" outlineLevel="0" collapsed="false">
      <c r="A94" s="24" t="n">
        <f aca="false">'Dados completos'!A150</f>
        <v>147</v>
      </c>
      <c r="B94" s="25" t="str">
        <f aca="false">'Dados completos'!AL150</f>
        <v>Reserva</v>
      </c>
      <c r="C94" s="24" t="n">
        <f aca="false">'Dados completos'!Y150</f>
        <v>2.3</v>
      </c>
      <c r="D94" s="26" t="n">
        <f aca="false">'Dados completos'!AF150</f>
        <v>44.2</v>
      </c>
      <c r="E94" s="27" t="n">
        <f aca="false">'Dados completos'!AH150</f>
        <v>0.027912</v>
      </c>
      <c r="F94" s="28" t="str">
        <f aca="false">'Dados completos'!AI150</f>
        <v>Baixa</v>
      </c>
      <c r="G94" s="29" t="str">
        <f aca="false">'Dados completos'!B150</f>
        <v>BCG</v>
      </c>
      <c r="H94" s="30" t="str">
        <f aca="false">'Dados completos'!C150</f>
        <v>Internship, Junior Financial Analyst, Janvier 2027 (Paris)</v>
      </c>
      <c r="I94" s="30" t="str">
        <f aca="false">'Dados completos'!E150</f>
        <v>Big 4 / consultoria</v>
      </c>
      <c r="J94" s="24" t="str">
        <f aca="false">'Dados completos'!F150</f>
        <v>França</v>
      </c>
      <c r="K94" s="30" t="str">
        <f aca="false">'Dados completos'!G150</f>
        <v>Paris</v>
      </c>
      <c r="L94" s="30" t="str">
        <f aca="false">'Dados completos'!H150</f>
        <v>Não indicado (provável presencial)</v>
      </c>
      <c r="M94" s="30" t="str">
        <f aca="false">'Dados completos'!I150</f>
        <v>Jan 2027</v>
      </c>
      <c r="N94" s="31" t="str">
        <f aca="false">'Dados completos'!O150</f>
        <v>Não indicado</v>
      </c>
      <c r="O94" s="28" t="str">
        <f aca="false">'Dados completos'!V150</f>
        <v>Alta</v>
      </c>
      <c r="P94" s="30" t="str">
        <f aca="false">IF('Dados completos'!R150="","n/d",IF('Dados completos'!R150='Dados completos'!S150,TEXT('Dados completos'!R150,"#,##0"),TEXT('Dados completos'!R150,"#,##0")&amp;", "&amp;TEXT('Dados completos'!S150,"#,##0")))</f>
        <v>1,500, 2,500</v>
      </c>
      <c r="Q94" s="30" t="str">
        <f aca="false">'Dados completos'!M150</f>
        <v>Francês e inglês (ver oferta)</v>
      </c>
      <c r="R94" s="30" t="str">
        <f aca="false">'Dados completos'!AJ150</f>
        <v>Língua-chave FR (exigência 0.8); experiência prévia em finanças valorizada, CV tem pouca; exige mestrado em curso ou convenção de estágio, risco.</v>
      </c>
      <c r="S94" s="30" t="str">
        <f aca="false">'Dados completos'!AK150</f>
        <v>Por confirmar</v>
      </c>
      <c r="T94" s="24" t="str">
        <f aca="false">'Dados completos'!AP150</f>
        <v>Parcial (agregador/título)</v>
      </c>
      <c r="U94" s="30" t="str">
        <f aca="false">'Dados completos'!AO150</f>
        <v>Anúncio em plataforma</v>
      </c>
      <c r="V94" s="32" t="str">
        <f aca="false">HYPERLINK('Dados completos'!AN150,"Abrir")</f>
        <v>Abrir</v>
      </c>
    </row>
    <row r="95" customFormat="false" ht="45.75" hidden="false" customHeight="true" outlineLevel="0" collapsed="false">
      <c r="A95" s="24" t="n">
        <f aca="false">'Dados completos'!A166</f>
        <v>163</v>
      </c>
      <c r="B95" s="25" t="str">
        <f aca="false">'Dados completos'!AL166</f>
        <v>Reserva</v>
      </c>
      <c r="C95" s="24" t="n">
        <f aca="false">'Dados completos'!Y166</f>
        <v>2.3</v>
      </c>
      <c r="D95" s="26" t="n">
        <f aca="false">'Dados completos'!AF166</f>
        <v>82</v>
      </c>
      <c r="E95" s="27" t="n">
        <f aca="false">'Dados completos'!AH166</f>
        <v>0.04152</v>
      </c>
      <c r="F95" s="28" t="str">
        <f aca="false">'Dados completos'!AI166</f>
        <v>Média</v>
      </c>
      <c r="G95" s="29" t="str">
        <f aca="false">'Dados completos'!B166</f>
        <v>Jerónimo Martins</v>
      </c>
      <c r="H95" s="30" t="str">
        <f aca="false">'Dados completos'!C166</f>
        <v>Programa de Trainees 2027 (recém-mestres de gestão, economia e STEM)</v>
      </c>
      <c r="I95" s="30" t="str">
        <f aca="false">'Dados completos'!E166</f>
        <v>Big corporate</v>
      </c>
      <c r="J95" s="24" t="str">
        <f aca="false">'Dados completos'!F166</f>
        <v>Portugal</v>
      </c>
      <c r="K95" s="30" t="str">
        <f aca="false">'Dados completos'!G166</f>
        <v>Lisboa</v>
      </c>
      <c r="L95" s="30" t="str">
        <f aca="false">'Dados completos'!H166</f>
        <v>Não indicado (provável presencial)</v>
      </c>
      <c r="M95" s="30" t="str">
        <f aca="false">'Dados completos'!I166</f>
        <v>Não indicado</v>
      </c>
      <c r="N95" s="31" t="str">
        <f aca="false">'Dados completos'!O166</f>
        <v>Não indicado</v>
      </c>
      <c r="O95" s="28" t="str">
        <f aca="false">'Dados completos'!V166</f>
        <v>Alta</v>
      </c>
      <c r="P95" s="30" t="str">
        <f aca="false">IF('Dados completos'!R166="","n/d",IF('Dados completos'!R166='Dados completos'!S166,TEXT('Dados completos'!R166,"#,##0"),TEXT('Dados completos'!R166,"#,##0")&amp;", "&amp;TEXT('Dados completos'!S166,"#,##0")))</f>
        <v>1,200, 1,600</v>
      </c>
      <c r="Q95" s="30" t="str">
        <f aca="false">'Dados completos'!M166</f>
        <v>Português e inglês fluentes</v>
      </c>
      <c r="R95" s="30" t="str">
        <f aca="false">'Dados completos'!AJ166</f>
        <v>Língua-chave PT (exigência 0.3); não exige experiência prévia em finanças.</v>
      </c>
      <c r="S95" s="30" t="str">
        <f aca="false">'Dados completos'!AK166</f>
        <v>Aberta (prazo não indicado)</v>
      </c>
      <c r="T95" s="24" t="str">
        <f aca="false">'Dados completos'!AP166</f>
        <v>Parcial (agregador/título)</v>
      </c>
      <c r="U95" s="30" t="str">
        <f aca="false">'Dados completos'!AO166</f>
        <v>Direto (site/ATS da empresa)</v>
      </c>
      <c r="V95" s="32" t="str">
        <f aca="false">HYPERLINK('Dados completos'!AN166,"Abrir")</f>
        <v>Abrir</v>
      </c>
    </row>
    <row r="96" customFormat="false" ht="45.75" hidden="false" customHeight="true" outlineLevel="0" collapsed="false">
      <c r="A96" s="24" t="n">
        <f aca="false">'Dados completos'!A51</f>
        <v>48</v>
      </c>
      <c r="B96" s="25" t="str">
        <f aca="false">'Dados completos'!AL51</f>
        <v>Reserva</v>
      </c>
      <c r="C96" s="24" t="n">
        <f aca="false">'Dados completos'!Y51</f>
        <v>2.1</v>
      </c>
      <c r="D96" s="26" t="n">
        <f aca="false">'Dados completos'!AF51</f>
        <v>56.95</v>
      </c>
      <c r="E96" s="27" t="n">
        <f aca="false">'Dados completos'!AH51</f>
        <v>0.032502</v>
      </c>
      <c r="F96" s="28" t="str">
        <f aca="false">'Dados completos'!AI51</f>
        <v>Média</v>
      </c>
      <c r="G96" s="29" t="str">
        <f aca="false">'Dados completos'!B51</f>
        <v>Ardian</v>
      </c>
      <c r="H96" s="30" t="str">
        <f aca="false">'Dados completos'!C51</f>
        <v>Investor Relations Intern, January 2027</v>
      </c>
      <c r="I96" s="30" t="str">
        <f aca="false">'Dados completos'!E51</f>
        <v>VC / private equity</v>
      </c>
      <c r="J96" s="24" t="str">
        <f aca="false">'Dados completos'!F51</f>
        <v>Suíça</v>
      </c>
      <c r="K96" s="30" t="str">
        <f aca="false">'Dados completos'!G51</f>
        <v>Zurique</v>
      </c>
      <c r="L96" s="30" t="str">
        <f aca="false">'Dados completos'!H51</f>
        <v>Não indicado (provável presencial)</v>
      </c>
      <c r="M96" s="30" t="str">
        <f aca="false">'Dados completos'!I51</f>
        <v>Jan 2027</v>
      </c>
      <c r="N96" s="31" t="str">
        <f aca="false">'Dados completos'!O51</f>
        <v>Não indicado</v>
      </c>
      <c r="O96" s="28" t="str">
        <f aca="false">'Dados completos'!V51</f>
        <v>Alta</v>
      </c>
      <c r="P96" s="30" t="str">
        <f aca="false">IF('Dados completos'!R51="","n/d",IF('Dados completos'!R51='Dados completos'!S51,TEXT('Dados completos'!R51,"#,##0"),TEXT('Dados completos'!R51,"#,##0")&amp;", "&amp;TEXT('Dados completos'!S51,"#,##0")))</f>
        <v>3,000, 4,500</v>
      </c>
      <c r="Q96" s="30" t="str">
        <f aca="false">'Dados completos'!M51</f>
        <v>Inglês (ver oferta)</v>
      </c>
      <c r="R96" s="30" t="str">
        <f aca="false">'Dados completos'!AJ51</f>
        <v>Língua-chave DE (exigência 0.3); experiência prévia em finanças valorizada, CV tem pouca; exige mestrado em curso ou convenção de estágio, risco.</v>
      </c>
      <c r="S96" s="30" t="str">
        <f aca="false">'Dados completos'!AK51</f>
        <v>Por confirmar</v>
      </c>
      <c r="T96" s="24" t="str">
        <f aca="false">'Dados completos'!AP51</f>
        <v>Parcial (agregador/título)</v>
      </c>
      <c r="U96" s="30" t="str">
        <f aca="false">'Dados completos'!AO51</f>
        <v>Direto (site/ATS da empresa)</v>
      </c>
      <c r="V96" s="32" t="str">
        <f aca="false">HYPERLINK('Dados completos'!AN51,"Abrir")</f>
        <v>Abrir</v>
      </c>
    </row>
    <row r="97" customFormat="false" ht="45.75" hidden="false" customHeight="true" outlineLevel="0" collapsed="false">
      <c r="A97" s="24" t="n">
        <f aca="false">'Dados completos'!A125</f>
        <v>122</v>
      </c>
      <c r="B97" s="25" t="str">
        <f aca="false">'Dados completos'!AL125</f>
        <v>Reserva</v>
      </c>
      <c r="C97" s="24" t="n">
        <f aca="false">'Dados completos'!Y125</f>
        <v>2.5</v>
      </c>
      <c r="D97" s="26" t="n">
        <f aca="false">'Dados completos'!AF125</f>
        <v>31</v>
      </c>
      <c r="E97" s="27" t="n">
        <f aca="false">'Dados completos'!AH125</f>
        <v>0.02316</v>
      </c>
      <c r="F97" s="28" t="str">
        <f aca="false">'Dados completos'!AI125</f>
        <v>Baixa</v>
      </c>
      <c r="G97" s="29" t="str">
        <f aca="false">'Dados completos'!B125</f>
        <v>Houlihan Lokey</v>
      </c>
      <c r="H97" s="30" t="str">
        <f aca="false">'Dados completos'!C125</f>
        <v>6-month Internship, Sovereign Advisory, Financial Restructuring (Paris)</v>
      </c>
      <c r="I97" s="30" t="str">
        <f aca="false">'Dados completos'!E125</f>
        <v>Banca de investimento / boutique</v>
      </c>
      <c r="J97" s="24" t="str">
        <f aca="false">'Dados completos'!F125</f>
        <v>França</v>
      </c>
      <c r="K97" s="30" t="str">
        <f aca="false">'Dados completos'!G125</f>
        <v>Paris</v>
      </c>
      <c r="L97" s="30" t="str">
        <f aca="false">'Dados completos'!H125</f>
        <v>Não indicado (provável presencial)</v>
      </c>
      <c r="M97" s="30" t="str">
        <f aca="false">'Dados completos'!I125</f>
        <v>Jan 2027</v>
      </c>
      <c r="N97" s="31" t="str">
        <f aca="false">'Dados completos'!O125</f>
        <v>Não indicado</v>
      </c>
      <c r="O97" s="28" t="str">
        <f aca="false">'Dados completos'!V125</f>
        <v>Alta</v>
      </c>
      <c r="P97" s="30" t="str">
        <f aca="false">IF('Dados completos'!R125="","n/d",IF('Dados completos'!R125='Dados completos'!S125,TEXT('Dados completos'!R125,"#,##0"),TEXT('Dados completos'!R125,"#,##0")&amp;", "&amp;TEXT('Dados completos'!S125,"#,##0")))</f>
        <v>1,500, 2,500</v>
      </c>
      <c r="Q97" s="30" t="str">
        <f aca="false">'Dados completos'!M125</f>
        <v>Francês e inglês (ver oferta)</v>
      </c>
      <c r="R97" s="30" t="str">
        <f aca="false">'Dados completos'!AJ125</f>
        <v>Língua-chave FR (exigência 1); experiência prévia em finanças valorizada, CV tem pouca; exige mestrado em curso ou convenção de estágio, risco.</v>
      </c>
      <c r="S97" s="30" t="str">
        <f aca="false">'Dados completos'!AK125</f>
        <v>Por confirmar</v>
      </c>
      <c r="T97" s="24" t="str">
        <f aca="false">'Dados completos'!AP125</f>
        <v>Parcial (agregador/título)</v>
      </c>
      <c r="U97" s="30" t="str">
        <f aca="false">'Dados completos'!AO125</f>
        <v>Direto (site/ATS da empresa)</v>
      </c>
      <c r="V97" s="32" t="str">
        <f aca="false">HYPERLINK('Dados completos'!AN125,"Abrir")</f>
        <v>Abrir</v>
      </c>
    </row>
    <row r="98" customFormat="false" ht="45.75" hidden="false" customHeight="true" outlineLevel="0" collapsed="false">
      <c r="A98" s="24" t="n">
        <f aca="false">'Dados completos'!A9</f>
        <v>6</v>
      </c>
      <c r="B98" s="25" t="str">
        <f aca="false">'Dados completos'!AL9</f>
        <v>Reserva</v>
      </c>
      <c r="C98" s="24" t="n">
        <f aca="false">'Dados completos'!Y9</f>
        <v>2.8</v>
      </c>
      <c r="D98" s="26" t="n">
        <f aca="false">'Dados completos'!AF9</f>
        <v>22.5</v>
      </c>
      <c r="E98" s="27" t="n">
        <f aca="false">'Dados completos'!AH9</f>
        <v>0.0201</v>
      </c>
      <c r="F98" s="28" t="str">
        <f aca="false">'Dados completos'!AI9</f>
        <v>Baixa</v>
      </c>
      <c r="G98" s="29" t="str">
        <f aca="false">'Dados completos'!B9</f>
        <v>Houlihan Lokey</v>
      </c>
      <c r="H98" s="30" t="str">
        <f aca="false">'Dados completos'!C9</f>
        <v>6-Month Off-Cycle Intern, Capital Solutions, Secondary Advisory</v>
      </c>
      <c r="I98" s="30" t="str">
        <f aca="false">'Dados completos'!E9</f>
        <v>Banca de investimento / boutique</v>
      </c>
      <c r="J98" s="24" t="str">
        <f aca="false">'Dados completos'!F9</f>
        <v>França</v>
      </c>
      <c r="K98" s="30" t="str">
        <f aca="false">'Dados completos'!G9</f>
        <v>Paris</v>
      </c>
      <c r="L98" s="30" t="str">
        <f aca="false">'Dados completos'!H9</f>
        <v>Não indicado (provável presencial)</v>
      </c>
      <c r="M98" s="30" t="str">
        <f aca="false">'Dados completos'!I9</f>
        <v>Jan 2027</v>
      </c>
      <c r="N98" s="31" t="str">
        <f aca="false">'Dados completos'!O9</f>
        <v>Não indicado</v>
      </c>
      <c r="O98" s="28" t="str">
        <f aca="false">'Dados completos'!V9</f>
        <v>Alta</v>
      </c>
      <c r="P98" s="30" t="str">
        <f aca="false">IF('Dados completos'!R9="","n/d",IF('Dados completos'!R9='Dados completos'!S9,TEXT('Dados completos'!R9,"#,##0"),TEXT('Dados completos'!R9,"#,##0")&amp;", "&amp;TEXT('Dados completos'!S9,"#,##0")))</f>
        <v>1,500, 2,500</v>
      </c>
      <c r="Q98" s="30" t="str">
        <f aca="false">'Dados completos'!M9</f>
        <v>Francês e inglês (fluentes)</v>
      </c>
      <c r="R98" s="30" t="str">
        <f aca="false">'Dados completos'!AJ9</f>
        <v>Língua-chave FR (exigência 1); pede experiência prévia em IB/PE/consultoria, o CV mostrado não tem; exige mestrado em curso ou convenção de estágio, risco.</v>
      </c>
      <c r="S98" s="30" t="str">
        <f aca="false">'Dados completos'!AK9</f>
        <v>Aberta (prazo não indicado)</v>
      </c>
      <c r="T98" s="24" t="str">
        <f aca="false">'Dados completos'!AP9</f>
        <v>Verificada na página</v>
      </c>
      <c r="U98" s="30" t="str">
        <f aca="false">'Dados completos'!AO9</f>
        <v>Direto (site/ATS da empresa)</v>
      </c>
      <c r="V98" s="32" t="str">
        <f aca="false">HYPERLINK('Dados completos'!AN9,"Abrir")</f>
        <v>Abrir</v>
      </c>
    </row>
    <row r="99" customFormat="false" ht="45.75" hidden="false" customHeight="true" outlineLevel="0" collapsed="false">
      <c r="A99" s="24" t="n">
        <f aca="false">'Dados completos'!A47</f>
        <v>44</v>
      </c>
      <c r="B99" s="25" t="str">
        <f aca="false">'Dados completos'!AL47</f>
        <v>Reserva</v>
      </c>
      <c r="C99" s="24" t="n">
        <f aca="false">'Dados completos'!Y47</f>
        <v>2.2</v>
      </c>
      <c r="D99" s="26" t="n">
        <f aca="false">'Dados completos'!AF47</f>
        <v>34.5</v>
      </c>
      <c r="E99" s="27" t="n">
        <f aca="false">'Dados completos'!AH47</f>
        <v>0.02442</v>
      </c>
      <c r="F99" s="28" t="str">
        <f aca="false">'Dados completos'!AI47</f>
        <v>Baixa</v>
      </c>
      <c r="G99" s="29" t="str">
        <f aca="false">'Dados completos'!B47</f>
        <v>Ardian</v>
      </c>
      <c r="H99" s="30" t="str">
        <f aca="false">'Dados completos'!C47</f>
        <v>Fund Finance, Secondaries &amp; Primaries Stage, Janvier 2027</v>
      </c>
      <c r="I99" s="30" t="str">
        <f aca="false">'Dados completos'!E47</f>
        <v>VC / private equity</v>
      </c>
      <c r="J99" s="24" t="str">
        <f aca="false">'Dados completos'!F47</f>
        <v>França</v>
      </c>
      <c r="K99" s="30" t="str">
        <f aca="false">'Dados completos'!G47</f>
        <v>Paris</v>
      </c>
      <c r="L99" s="30" t="str">
        <f aca="false">'Dados completos'!H47</f>
        <v>Não indicado (provável presencial)</v>
      </c>
      <c r="M99" s="30" t="str">
        <f aca="false">'Dados completos'!I47</f>
        <v>Jan 2027</v>
      </c>
      <c r="N99" s="31" t="str">
        <f aca="false">'Dados completos'!O47</f>
        <v>Não indicado</v>
      </c>
      <c r="O99" s="28" t="str">
        <f aca="false">'Dados completos'!V47</f>
        <v>Alta</v>
      </c>
      <c r="P99" s="30" t="str">
        <f aca="false">IF('Dados completos'!R47="","n/d",IF('Dados completos'!R47='Dados completos'!S47,TEXT('Dados completos'!R47,"#,##0"),TEXT('Dados completos'!R47,"#,##0")&amp;", "&amp;TEXT('Dados completos'!S47,"#,##0")))</f>
        <v>1,500, 2,500</v>
      </c>
      <c r="Q99" s="30" t="str">
        <f aca="false">'Dados completos'!M47</f>
        <v>Francês e inglês (ver oferta)</v>
      </c>
      <c r="R99" s="30" t="str">
        <f aca="false">'Dados completos'!AJ47</f>
        <v>Língua-chave FR (exigência 1); experiência prévia em finanças valorizada, CV tem pouca; exige mestrado em curso ou convenção de estágio, risco.</v>
      </c>
      <c r="S99" s="30" t="str">
        <f aca="false">'Dados completos'!AK47</f>
        <v>Por confirmar</v>
      </c>
      <c r="T99" s="24" t="str">
        <f aca="false">'Dados completos'!AP47</f>
        <v>Parcial (agregador/título)</v>
      </c>
      <c r="U99" s="30" t="str">
        <f aca="false">'Dados completos'!AO47</f>
        <v>Direto (site/ATS da empresa)</v>
      </c>
      <c r="V99" s="32" t="str">
        <f aca="false">HYPERLINK('Dados completos'!AN47,"Abrir")</f>
        <v>Abrir</v>
      </c>
    </row>
    <row r="100" customFormat="false" ht="45.75" hidden="false" customHeight="true" outlineLevel="0" collapsed="false">
      <c r="A100" s="24" t="n">
        <f aca="false">'Dados completos'!A87</f>
        <v>84</v>
      </c>
      <c r="B100" s="25" t="str">
        <f aca="false">'Dados completos'!AL87</f>
        <v>Reserva</v>
      </c>
      <c r="C100" s="24" t="n">
        <f aca="false">'Dados completos'!Y87</f>
        <v>2.1</v>
      </c>
      <c r="D100" s="26" t="n">
        <f aca="false">'Dados completos'!AF87</f>
        <v>47.9</v>
      </c>
      <c r="E100" s="27" t="n">
        <f aca="false">'Dados completos'!AH87</f>
        <v>0.029244</v>
      </c>
      <c r="F100" s="28" t="str">
        <f aca="false">'Dados completos'!AI87</f>
        <v>Baixa</v>
      </c>
      <c r="G100" s="29" t="str">
        <f aca="false">'Dados completos'!B87</f>
        <v>Tikehau Capital</v>
      </c>
      <c r="H100" s="30" t="str">
        <f aca="false">'Dados completos'!C87</f>
        <v>Internship, ESG Analyst for Private Equity (Paris)</v>
      </c>
      <c r="I100" s="30" t="str">
        <f aca="false">'Dados completos'!E87</f>
        <v>VC / private equity</v>
      </c>
      <c r="J100" s="24" t="str">
        <f aca="false">'Dados completos'!F87</f>
        <v>França</v>
      </c>
      <c r="K100" s="30" t="str">
        <f aca="false">'Dados completos'!G87</f>
        <v>Paris</v>
      </c>
      <c r="L100" s="30" t="str">
        <f aca="false">'Dados completos'!H87</f>
        <v>Não indicado (provável presencial)</v>
      </c>
      <c r="M100" s="30" t="str">
        <f aca="false">'Dados completos'!I87</f>
        <v>Jan 2027</v>
      </c>
      <c r="N100" s="31" t="str">
        <f aca="false">'Dados completos'!O87</f>
        <v>Não indicado</v>
      </c>
      <c r="O100" s="28" t="str">
        <f aca="false">'Dados completos'!V87</f>
        <v>Alta</v>
      </c>
      <c r="P100" s="30" t="str">
        <f aca="false">IF('Dados completos'!R87="","n/d",IF('Dados completos'!R87='Dados completos'!S87,TEXT('Dados completos'!R87,"#,##0"),TEXT('Dados completos'!R87,"#,##0")&amp;", "&amp;TEXT('Dados completos'!S87,"#,##0")))</f>
        <v>1,500, 2,500</v>
      </c>
      <c r="Q100" s="30" t="str">
        <f aca="false">'Dados completos'!M87</f>
        <v>Francês e inglês (ver oferta)</v>
      </c>
      <c r="R100" s="30" t="str">
        <f aca="false">'Dados completos'!AJ87</f>
        <v>Língua-chave FR (exigência 0.6); experiência prévia em finanças valorizada, CV tem pouca; exige mestrado em curso ou convenção de estágio, risco.</v>
      </c>
      <c r="S100" s="30" t="str">
        <f aca="false">'Dados completos'!AK87</f>
        <v>Por confirmar</v>
      </c>
      <c r="T100" s="24" t="str">
        <f aca="false">'Dados completos'!AP87</f>
        <v>Parcial (agregador/título)</v>
      </c>
      <c r="U100" s="30" t="str">
        <f aca="false">'Dados completos'!AO87</f>
        <v>Direto (site/ATS da empresa)</v>
      </c>
      <c r="V100" s="32" t="str">
        <f aca="false">HYPERLINK('Dados completos'!AN87,"Abrir")</f>
        <v>Abrir</v>
      </c>
    </row>
    <row r="101" customFormat="false" ht="45.75" hidden="false" customHeight="true" outlineLevel="0" collapsed="false">
      <c r="A101" s="24" t="n">
        <f aca="false">'Dados completos'!A8</f>
        <v>5</v>
      </c>
      <c r="B101" s="25" t="str">
        <f aca="false">'Dados completos'!AL8</f>
        <v>Candidatar (reach)</v>
      </c>
      <c r="C101" s="24" t="n">
        <f aca="false">'Dados completos'!Y8</f>
        <v>3.4</v>
      </c>
      <c r="D101" s="26" t="n">
        <f aca="false">'Dados completos'!AF8</f>
        <v>77.5</v>
      </c>
      <c r="E101" s="27" t="n">
        <f aca="false">'Dados completos'!AH8</f>
        <v>0.0133</v>
      </c>
      <c r="F101" s="28" t="str">
        <f aca="false">'Dados completos'!AI8</f>
        <v>Baixa</v>
      </c>
      <c r="G101" s="29" t="str">
        <f aca="false">'Dados completos'!B8</f>
        <v>Blackstone</v>
      </c>
      <c r="H101" s="30" t="str">
        <f aca="false">'Dados completos'!C8</f>
        <v>2027 Private Equity Off-Cycle Internship</v>
      </c>
      <c r="I101" s="30" t="str">
        <f aca="false">'Dados completos'!E8</f>
        <v>VC / private equity</v>
      </c>
      <c r="J101" s="24" t="str">
        <f aca="false">'Dados completos'!F8</f>
        <v>Reino Unido</v>
      </c>
      <c r="K101" s="30" t="str">
        <f aca="false">'Dados completos'!G8</f>
        <v>Londres (conforme agregador)</v>
      </c>
      <c r="L101" s="30" t="str">
        <f aca="false">'Dados completos'!H8</f>
        <v>Não indicado (provável presencial)</v>
      </c>
      <c r="M101" s="30" t="str">
        <f aca="false">'Dados completos'!I8</f>
        <v>Jan ou Jul 2027</v>
      </c>
      <c r="N101" s="31" t="str">
        <f aca="false">'Dados completos'!O8</f>
        <v>Rolling (sem prazo)</v>
      </c>
      <c r="O101" s="28" t="str">
        <f aca="false">'Dados completos'!V8</f>
        <v>Muito alta</v>
      </c>
      <c r="P101" s="30" t="str">
        <f aca="false">IF('Dados completos'!R8="","n/d",IF('Dados completos'!R8='Dados completos'!S8,TEXT('Dados completos'!R8,"#,##0"),TEXT('Dados completos'!R8,"#,##0")&amp;", "&amp;TEXT('Dados completos'!S8,"#,##0")))</f>
        <v>2,800, 4,000</v>
      </c>
      <c r="Q101" s="30" t="str">
        <f aca="false">'Dados completos'!M8</f>
        <v>Inglês</v>
      </c>
      <c r="R101" s="30" t="str">
        <f aca="false">'Dados completos'!AJ8</f>
        <v>Língua-chave EN (exigência 1); experiência prévia em finanças valorizada, CV tem pouca; aceita recém-licenciadas.</v>
      </c>
      <c r="S101" s="30" t="str">
        <f aca="false">'Dados completos'!AK8</f>
        <v>Aberta (rolling)</v>
      </c>
      <c r="T101" s="24" t="str">
        <f aca="false">'Dados completos'!AP8</f>
        <v>Verificada na página</v>
      </c>
      <c r="U101" s="30" t="str">
        <f aca="false">'Dados completos'!AO8</f>
        <v>Direto (site/ATS da empresa)</v>
      </c>
      <c r="V101" s="32" t="str">
        <f aca="false">HYPERLINK('Dados completos'!AN8,"Abrir")</f>
        <v>Abrir</v>
      </c>
    </row>
    <row r="102" customFormat="false" ht="45.75" hidden="false" customHeight="true" outlineLevel="0" collapsed="false">
      <c r="A102" s="24" t="n">
        <f aca="false">'Dados completos'!A85</f>
        <v>82</v>
      </c>
      <c r="B102" s="25" t="str">
        <f aca="false">'Dados completos'!AL85</f>
        <v>Prioridade</v>
      </c>
      <c r="C102" s="24" t="n">
        <f aca="false">'Dados completos'!Y85</f>
        <v>3.8</v>
      </c>
      <c r="D102" s="26" t="n">
        <f aca="false">'Dados completos'!AF85</f>
        <v>72</v>
      </c>
      <c r="E102" s="27" t="n">
        <f aca="false">'Dados completos'!AH85</f>
        <v>0.01264</v>
      </c>
      <c r="F102" s="28" t="str">
        <f aca="false">'Dados completos'!AI85</f>
        <v>Baixa</v>
      </c>
      <c r="G102" s="29" t="str">
        <f aca="false">'Dados completos'!B85</f>
        <v>Blackstone</v>
      </c>
      <c r="H102" s="30" t="str">
        <f aca="false">'Dados completos'!C85</f>
        <v>2027 Strategic Partners Off Cycle Intern (Londres)</v>
      </c>
      <c r="I102" s="30" t="str">
        <f aca="false">'Dados completos'!E85</f>
        <v>VC / private equity</v>
      </c>
      <c r="J102" s="24" t="str">
        <f aca="false">'Dados completos'!F85</f>
        <v>Reino Unido</v>
      </c>
      <c r="K102" s="30" t="str">
        <f aca="false">'Dados completos'!G85</f>
        <v>Londres</v>
      </c>
      <c r="L102" s="30" t="str">
        <f aca="false">'Dados completos'!H85</f>
        <v>Não indicado (provável presencial)</v>
      </c>
      <c r="M102" s="30" t="str">
        <f aca="false">'Dados completos'!I85</f>
        <v>2027 (mês por confirmar)</v>
      </c>
      <c r="N102" s="31" t="str">
        <f aca="false">'Dados completos'!O85</f>
        <v>Não indicado</v>
      </c>
      <c r="O102" s="28" t="str">
        <f aca="false">'Dados completos'!V85</f>
        <v>Muito alta</v>
      </c>
      <c r="P102" s="30" t="str">
        <f aca="false">IF('Dados completos'!R85="","n/d",IF('Dados completos'!R85='Dados completos'!S85,TEXT('Dados completos'!R85,"#,##0"),TEXT('Dados completos'!R85,"#,##0")&amp;", "&amp;TEXT('Dados completos'!S85,"#,##0")))</f>
        <v>2,800, 4,000</v>
      </c>
      <c r="Q102" s="30" t="str">
        <f aca="false">'Dados completos'!M85</f>
        <v>Inglês (ver oferta)</v>
      </c>
      <c r="R102" s="30" t="str">
        <f aca="false">'Dados completos'!AJ85</f>
        <v>Língua-chave EN (exigência 1); experiência prévia em finanças valorizada, CV tem pouca; aceita recém-licenciadas.</v>
      </c>
      <c r="S102" s="30" t="str">
        <f aca="false">'Dados completos'!AK85</f>
        <v>Por confirmar</v>
      </c>
      <c r="T102" s="24" t="str">
        <f aca="false">'Dados completos'!AP85</f>
        <v>Parcial (agregador/título)</v>
      </c>
      <c r="U102" s="30" t="str">
        <f aca="false">'Dados completos'!AO85</f>
        <v>Direto (site/ATS da empresa)</v>
      </c>
      <c r="V102" s="32" t="str">
        <f aca="false">HYPERLINK('Dados completos'!AN85,"Abrir")</f>
        <v>Abrir</v>
      </c>
    </row>
    <row r="103" customFormat="false" ht="45.75" hidden="false" customHeight="true" outlineLevel="0" collapsed="false">
      <c r="A103" s="24" t="n">
        <f aca="false">'Dados completos'!A48</f>
        <v>45</v>
      </c>
      <c r="B103" s="25" t="str">
        <f aca="false">'Dados completos'!AL48</f>
        <v>Reserva</v>
      </c>
      <c r="C103" s="24" t="n">
        <f aca="false">'Dados completos'!Y48</f>
        <v>1.9</v>
      </c>
      <c r="D103" s="26" t="n">
        <f aca="false">'Dados completos'!AF48</f>
        <v>34.5</v>
      </c>
      <c r="E103" s="27" t="n">
        <f aca="false">'Dados completos'!AH48</f>
        <v>0.02442</v>
      </c>
      <c r="F103" s="28" t="str">
        <f aca="false">'Dados completos'!AI48</f>
        <v>Baixa</v>
      </c>
      <c r="G103" s="29" t="str">
        <f aca="false">'Dados completos'!B48</f>
        <v>Ardian</v>
      </c>
      <c r="H103" s="30" t="str">
        <f aca="false">'Dados completos'!C48</f>
        <v>Investor Relations France, Fundraising &amp; Sales Stage, Janvier 2027</v>
      </c>
      <c r="I103" s="30" t="str">
        <f aca="false">'Dados completos'!E48</f>
        <v>VC / private equity</v>
      </c>
      <c r="J103" s="24" t="str">
        <f aca="false">'Dados completos'!F48</f>
        <v>França</v>
      </c>
      <c r="K103" s="30" t="str">
        <f aca="false">'Dados completos'!G48</f>
        <v>Paris</v>
      </c>
      <c r="L103" s="30" t="str">
        <f aca="false">'Dados completos'!H48</f>
        <v>Não indicado (provável presencial)</v>
      </c>
      <c r="M103" s="30" t="str">
        <f aca="false">'Dados completos'!I48</f>
        <v>Jan 2027</v>
      </c>
      <c r="N103" s="31" t="str">
        <f aca="false">'Dados completos'!O48</f>
        <v>Não indicado</v>
      </c>
      <c r="O103" s="28" t="str">
        <f aca="false">'Dados completos'!V48</f>
        <v>Alta</v>
      </c>
      <c r="P103" s="30" t="str">
        <f aca="false">IF('Dados completos'!R48="","n/d",IF('Dados completos'!R48='Dados completos'!S48,TEXT('Dados completos'!R48,"#,##0"),TEXT('Dados completos'!R48,"#,##0")&amp;", "&amp;TEXT('Dados completos'!S48,"#,##0")))</f>
        <v>1,500, 2,500</v>
      </c>
      <c r="Q103" s="30" t="str">
        <f aca="false">'Dados completos'!M48</f>
        <v>Francês e inglês (ver oferta)</v>
      </c>
      <c r="R103" s="30" t="str">
        <f aca="false">'Dados completos'!AJ48</f>
        <v>Língua-chave FR (exigência 1); experiência prévia em finanças valorizada, CV tem pouca; exige mestrado em curso ou convenção de estágio, risco.</v>
      </c>
      <c r="S103" s="30" t="str">
        <f aca="false">'Dados completos'!AK48</f>
        <v>Por confirmar</v>
      </c>
      <c r="T103" s="24" t="str">
        <f aca="false">'Dados completos'!AP48</f>
        <v>Parcial (agregador/título)</v>
      </c>
      <c r="U103" s="30" t="str">
        <f aca="false">'Dados completos'!AO48</f>
        <v>Anúncio em plataforma</v>
      </c>
      <c r="V103" s="32" t="str">
        <f aca="false">HYPERLINK('Dados completos'!AN48,"Abrir")</f>
        <v>Abrir</v>
      </c>
    </row>
    <row r="104" customFormat="false" ht="45.75" hidden="false" customHeight="true" outlineLevel="0" collapsed="false">
      <c r="A104" s="24" t="n">
        <f aca="false">'Dados completos'!A49</f>
        <v>46</v>
      </c>
      <c r="B104" s="25" t="str">
        <f aca="false">'Dados completos'!AL49</f>
        <v>Reserva</v>
      </c>
      <c r="C104" s="24" t="n">
        <f aca="false">'Dados completos'!Y49</f>
        <v>1.9</v>
      </c>
      <c r="D104" s="26" t="n">
        <f aca="false">'Dados completos'!AF49</f>
        <v>34.5</v>
      </c>
      <c r="E104" s="27" t="n">
        <f aca="false">'Dados completos'!AH49</f>
        <v>0.02442</v>
      </c>
      <c r="F104" s="28" t="str">
        <f aca="false">'Dados completos'!AI49</f>
        <v>Baixa</v>
      </c>
      <c r="G104" s="29" t="str">
        <f aca="false">'Dados completos'!B49</f>
        <v>Ardian</v>
      </c>
      <c r="H104" s="30" t="str">
        <f aca="false">'Dados completos'!C49</f>
        <v>Investor Relations, Client Solutions Stage, Janvier 2027</v>
      </c>
      <c r="I104" s="30" t="str">
        <f aca="false">'Dados completos'!E49</f>
        <v>VC / private equity</v>
      </c>
      <c r="J104" s="24" t="str">
        <f aca="false">'Dados completos'!F49</f>
        <v>França</v>
      </c>
      <c r="K104" s="30" t="str">
        <f aca="false">'Dados completos'!G49</f>
        <v>Paris</v>
      </c>
      <c r="L104" s="30" t="str">
        <f aca="false">'Dados completos'!H49</f>
        <v>Não indicado (provável presencial)</v>
      </c>
      <c r="M104" s="30" t="str">
        <f aca="false">'Dados completos'!I49</f>
        <v>Jan 2027</v>
      </c>
      <c r="N104" s="31" t="str">
        <f aca="false">'Dados completos'!O49</f>
        <v>Não indicado</v>
      </c>
      <c r="O104" s="28" t="str">
        <f aca="false">'Dados completos'!V49</f>
        <v>Alta</v>
      </c>
      <c r="P104" s="30" t="str">
        <f aca="false">IF('Dados completos'!R49="","n/d",IF('Dados completos'!R49='Dados completos'!S49,TEXT('Dados completos'!R49,"#,##0"),TEXT('Dados completos'!R49,"#,##0")&amp;", "&amp;TEXT('Dados completos'!S49,"#,##0")))</f>
        <v>1,500, 2,500</v>
      </c>
      <c r="Q104" s="30" t="str">
        <f aca="false">'Dados completos'!M49</f>
        <v>Francês e inglês (ver oferta)</v>
      </c>
      <c r="R104" s="30" t="str">
        <f aca="false">'Dados completos'!AJ49</f>
        <v>Língua-chave FR (exigência 1); experiência prévia em finanças valorizada, CV tem pouca; exige mestrado em curso ou convenção de estágio, risco.</v>
      </c>
      <c r="S104" s="30" t="str">
        <f aca="false">'Dados completos'!AK49</f>
        <v>Por confirmar</v>
      </c>
      <c r="T104" s="24" t="str">
        <f aca="false">'Dados completos'!AP49</f>
        <v>Parcial (agregador/título)</v>
      </c>
      <c r="U104" s="30" t="str">
        <f aca="false">'Dados completos'!AO49</f>
        <v>Anúncio em plataforma</v>
      </c>
      <c r="V104" s="32" t="str">
        <f aca="false">HYPERLINK('Dados completos'!AN49,"Abrir")</f>
        <v>Abrir</v>
      </c>
    </row>
    <row r="105" customFormat="false" ht="45.75" hidden="false" customHeight="true" outlineLevel="0" collapsed="false">
      <c r="A105" s="24" t="n">
        <f aca="false">'Dados completos'!A4</f>
        <v>1</v>
      </c>
      <c r="B105" s="25" t="str">
        <f aca="false">'Dados completos'!AL4</f>
        <v>Candidatar (reach)</v>
      </c>
      <c r="C105" s="24" t="n">
        <f aca="false">'Dados completos'!Y4</f>
        <v>3.4</v>
      </c>
      <c r="D105" s="26" t="n">
        <f aca="false">'Dados completos'!AF4</f>
        <v>62</v>
      </c>
      <c r="E105" s="27" t="n">
        <f aca="false">'Dados completos'!AH4</f>
        <v>0.01144</v>
      </c>
      <c r="F105" s="28" t="str">
        <f aca="false">'Dados completos'!AI4</f>
        <v>Baixa</v>
      </c>
      <c r="G105" s="29" t="str">
        <f aca="false">'Dados completos'!B4</f>
        <v>Rothschild &amp; Co (Five Arrows)</v>
      </c>
      <c r="H105" s="30" t="str">
        <f aca="false">'Dados completos'!C4</f>
        <v>2027 Five Arrows Private Equity Long Term Internship</v>
      </c>
      <c r="I105" s="30" t="str">
        <f aca="false">'Dados completos'!E4</f>
        <v>Banca de investimento / boutique</v>
      </c>
      <c r="J105" s="24" t="str">
        <f aca="false">'Dados completos'!F4</f>
        <v>Reino Unido</v>
      </c>
      <c r="K105" s="30" t="str">
        <f aca="false">'Dados completos'!G4</f>
        <v>Londres</v>
      </c>
      <c r="L105" s="30" t="str">
        <f aca="false">'Dados completos'!H4</f>
        <v>Não indicado (provável presencial)</v>
      </c>
      <c r="M105" s="30" t="str">
        <f aca="false">'Dados completos'!I4</f>
        <v>Jan 2027</v>
      </c>
      <c r="N105" s="31" t="str">
        <f aca="false">'Dados completos'!O4</f>
        <v>Não indicado</v>
      </c>
      <c r="O105" s="28" t="str">
        <f aca="false">'Dados completos'!V4</f>
        <v>Muito alta</v>
      </c>
      <c r="P105" s="30" t="str">
        <f aca="false">IF('Dados completos'!R4="","n/d",IF('Dados completos'!R4='Dados completos'!S4,TEXT('Dados completos'!R4,"#,##0"),TEXT('Dados completos'!R4,"#,##0")&amp;", "&amp;TEXT('Dados completos'!S4,"#,##0")))</f>
        <v>2,800, 4,000</v>
      </c>
      <c r="Q105" s="30" t="str">
        <f aca="false">'Dados completos'!M4</f>
        <v>Inglês</v>
      </c>
      <c r="R105" s="30" t="str">
        <f aca="false">'Dados completos'!AJ4</f>
        <v>Língua-chave EN (exigência 1); pede experiência prévia em IB/PE/consultoria, o CV mostrado não tem.</v>
      </c>
      <c r="S105" s="30" t="str">
        <f aca="false">'Dados completos'!AK4</f>
        <v>Aberta (prazo não indicado)</v>
      </c>
      <c r="T105" s="24" t="str">
        <f aca="false">'Dados completos'!AP4</f>
        <v>Verificada na página</v>
      </c>
      <c r="U105" s="30" t="str">
        <f aca="false">'Dados completos'!AO4</f>
        <v>Direto (site/ATS da empresa)</v>
      </c>
      <c r="V105" s="32" t="str">
        <f aca="false">HYPERLINK('Dados completos'!AN4,"Abrir")</f>
        <v>Abrir</v>
      </c>
    </row>
    <row r="106" customFormat="false" ht="45.75" hidden="false" customHeight="true" outlineLevel="0" collapsed="false">
      <c r="A106" s="24" t="n">
        <f aca="false">'Dados completos'!A12</f>
        <v>9</v>
      </c>
      <c r="B106" s="25" t="str">
        <f aca="false">'Dados completos'!AL12</f>
        <v>Candidatar (reach)</v>
      </c>
      <c r="C106" s="24" t="n">
        <f aca="false">'Dados completos'!Y12</f>
        <v>3.4</v>
      </c>
      <c r="D106" s="26" t="n">
        <f aca="false">'Dados completos'!AF12</f>
        <v>60.5</v>
      </c>
      <c r="E106" s="27" t="n">
        <f aca="false">'Dados completos'!AH12</f>
        <v>0.01126</v>
      </c>
      <c r="F106" s="28" t="str">
        <f aca="false">'Dados completos'!AI12</f>
        <v>Baixa</v>
      </c>
      <c r="G106" s="29" t="str">
        <f aca="false">'Dados completos'!B12</f>
        <v>IK Partners</v>
      </c>
      <c r="H106" s="30" t="str">
        <f aca="false">'Dados completos'!C12</f>
        <v>Capital Markets Off-Cycle Analyst 2027</v>
      </c>
      <c r="I106" s="30" t="str">
        <f aca="false">'Dados completos'!E12</f>
        <v>VC / private equity</v>
      </c>
      <c r="J106" s="24" t="str">
        <f aca="false">'Dados completos'!F12</f>
        <v>Reino Unido</v>
      </c>
      <c r="K106" s="30" t="str">
        <f aca="false">'Dados completos'!G12</f>
        <v>Londres</v>
      </c>
      <c r="L106" s="30" t="str">
        <f aca="false">'Dados completos'!H12</f>
        <v>Presencial</v>
      </c>
      <c r="M106" s="30" t="str">
        <f aca="false">'Dados completos'!I12</f>
        <v>Jan 2027</v>
      </c>
      <c r="N106" s="31" t="str">
        <f aca="false">'Dados completos'!O12</f>
        <v>Não indicado</v>
      </c>
      <c r="O106" s="28" t="str">
        <f aca="false">'Dados completos'!V12</f>
        <v>Muito alta</v>
      </c>
      <c r="P106" s="30" t="str">
        <f aca="false">IF('Dados completos'!R12="","n/d",IF('Dados completos'!R12='Dados completos'!S12,TEXT('Dados completos'!R12,"#,##0"),TEXT('Dados completos'!R12,"#,##0")&amp;", "&amp;TEXT('Dados completos'!S12,"#,##0")))</f>
        <v>2,800, 4,000</v>
      </c>
      <c r="Q106" s="30" t="str">
        <f aca="false">'Dados completos'!M12</f>
        <v>Inglês</v>
      </c>
      <c r="R106" s="30" t="str">
        <f aca="false">'Dados completos'!AJ12</f>
        <v>Língua-chave EN (exigência 1); pede experiência prévia em IB/PE/consultoria, o CV mostrado não tem.</v>
      </c>
      <c r="S106" s="30" t="str">
        <f aca="false">'Dados completos'!AK12</f>
        <v>Aberta (prazo não indicado)</v>
      </c>
      <c r="T106" s="24" t="str">
        <f aca="false">'Dados completos'!AP12</f>
        <v>Verificada na página</v>
      </c>
      <c r="U106" s="30" t="str">
        <f aca="false">'Dados completos'!AO12</f>
        <v>Direto (site/ATS da empresa)</v>
      </c>
      <c r="V106" s="32" t="str">
        <f aca="false">HYPERLINK('Dados completos'!AN12,"Abrir")</f>
        <v>Abrir</v>
      </c>
    </row>
    <row r="107" customFormat="false" ht="45.75" hidden="false" customHeight="true" outlineLevel="0" collapsed="false">
      <c r="A107" s="24" t="n">
        <f aca="false">'Dados completos'!A73</f>
        <v>70</v>
      </c>
      <c r="B107" s="25" t="str">
        <f aca="false">'Dados completos'!AL73</f>
        <v>Prioridade</v>
      </c>
      <c r="C107" s="24" t="n">
        <f aca="false">'Dados completos'!Y73</f>
        <v>3.6</v>
      </c>
      <c r="D107" s="26" t="n">
        <f aca="false">'Dados completos'!AF73</f>
        <v>60.5</v>
      </c>
      <c r="E107" s="27" t="n">
        <f aca="false">'Dados completos'!AH73</f>
        <v>0.01126</v>
      </c>
      <c r="F107" s="28" t="str">
        <f aca="false">'Dados completos'!AI73</f>
        <v>Baixa</v>
      </c>
      <c r="G107" s="29" t="str">
        <f aca="false">'Dados completos'!B73</f>
        <v>The Riverside Company</v>
      </c>
      <c r="H107" s="30" t="str">
        <f aca="false">'Dados completos'!C73</f>
        <v>2027 Private Equity Intern (January), Riverside Europe</v>
      </c>
      <c r="I107" s="30" t="str">
        <f aca="false">'Dados completos'!E73</f>
        <v>Banca de investimento</v>
      </c>
      <c r="J107" s="24" t="str">
        <f aca="false">'Dados completos'!F73</f>
        <v>Bélgica</v>
      </c>
      <c r="K107" s="30" t="str">
        <f aca="false">'Dados completos'!G73</f>
        <v>Bruxelas</v>
      </c>
      <c r="L107" s="30" t="str">
        <f aca="false">'Dados completos'!H73</f>
        <v>Não indicado (provável presencial)</v>
      </c>
      <c r="M107" s="30" t="str">
        <f aca="false">'Dados completos'!I73</f>
        <v>Jan 2027</v>
      </c>
      <c r="N107" s="31" t="str">
        <f aca="false">'Dados completos'!O73</f>
        <v>Não indicado</v>
      </c>
      <c r="O107" s="28" t="str">
        <f aca="false">'Dados completos'!V73</f>
        <v>Muito alta</v>
      </c>
      <c r="P107" s="30" t="str">
        <f aca="false">IF('Dados completos'!R73="","n/d",IF('Dados completos'!R73='Dados completos'!S73,TEXT('Dados completos'!R73,"#,##0"),TEXT('Dados completos'!R73,"#,##0")&amp;", "&amp;TEXT('Dados completos'!S73,"#,##0")))</f>
        <v>1,500, 2,200</v>
      </c>
      <c r="Q107" s="30" t="str">
        <f aca="false">'Dados completos'!M73</f>
        <v>Inglês (ver oferta)</v>
      </c>
      <c r="R107" s="30" t="str">
        <f aca="false">'Dados completos'!AJ73</f>
        <v>Língua-chave EN (exigência 1); experiência prévia em finanças valorizada, CV tem pouca; exige mestrado em curso ou convenção de estágio, risco.</v>
      </c>
      <c r="S107" s="30" t="str">
        <f aca="false">'Dados completos'!AK73</f>
        <v>Aberta (prazo não indicado)</v>
      </c>
      <c r="T107" s="24" t="str">
        <f aca="false">'Dados completos'!AP73</f>
        <v>Verificada na página</v>
      </c>
      <c r="U107" s="30" t="str">
        <f aca="false">'Dados completos'!AO73</f>
        <v>Direto (site/ATS da empresa)</v>
      </c>
      <c r="V107" s="32" t="str">
        <f aca="false">HYPERLINK('Dados completos'!AN73,"Abrir")</f>
        <v>Abrir</v>
      </c>
    </row>
    <row r="108" customFormat="false" ht="45.75" hidden="false" customHeight="true" outlineLevel="0" collapsed="false">
      <c r="A108" s="24" t="n">
        <f aca="false">'Dados completos'!A86</f>
        <v>83</v>
      </c>
      <c r="B108" s="25" t="str">
        <f aca="false">'Dados completos'!AL86</f>
        <v>Prioridade</v>
      </c>
      <c r="C108" s="24" t="n">
        <f aca="false">'Dados completos'!Y86</f>
        <v>3.6</v>
      </c>
      <c r="D108" s="26" t="n">
        <f aca="false">'Dados completos'!AF86</f>
        <v>60.5</v>
      </c>
      <c r="E108" s="27" t="n">
        <f aca="false">'Dados completos'!AH86</f>
        <v>0.01126</v>
      </c>
      <c r="F108" s="28" t="str">
        <f aca="false">'Dados completos'!AI86</f>
        <v>Baixa</v>
      </c>
      <c r="G108" s="29" t="str">
        <f aca="false">'Dados completos'!B86</f>
        <v>Tikehau Capital</v>
      </c>
      <c r="H108" s="30" t="str">
        <f aca="false">'Dados completos'!C86</f>
        <v>Internship, Private Equity (Londres)</v>
      </c>
      <c r="I108" s="30" t="str">
        <f aca="false">'Dados completos'!E86</f>
        <v>VC / private equity</v>
      </c>
      <c r="J108" s="24" t="str">
        <f aca="false">'Dados completos'!F86</f>
        <v>Reino Unido</v>
      </c>
      <c r="K108" s="30" t="str">
        <f aca="false">'Dados completos'!G86</f>
        <v>Londres</v>
      </c>
      <c r="L108" s="30" t="str">
        <f aca="false">'Dados completos'!H86</f>
        <v>Não indicado (provável presencial)</v>
      </c>
      <c r="M108" s="30" t="str">
        <f aca="false">'Dados completos'!I86</f>
        <v>Jan 2027</v>
      </c>
      <c r="N108" s="31" t="str">
        <f aca="false">'Dados completos'!O86</f>
        <v>Não indicado</v>
      </c>
      <c r="O108" s="28" t="str">
        <f aca="false">'Dados completos'!V86</f>
        <v>Muito alta</v>
      </c>
      <c r="P108" s="30" t="str">
        <f aca="false">IF('Dados completos'!R86="","n/d",IF('Dados completos'!R86='Dados completos'!S86,TEXT('Dados completos'!R86,"#,##0"),TEXT('Dados completos'!R86,"#,##0")&amp;", "&amp;TEXT('Dados completos'!S86,"#,##0")))</f>
        <v>2,800, 4,000</v>
      </c>
      <c r="Q108" s="30" t="str">
        <f aca="false">'Dados completos'!M86</f>
        <v>Inglês (ver oferta)</v>
      </c>
      <c r="R108" s="30" t="str">
        <f aca="false">'Dados completos'!AJ86</f>
        <v>Língua-chave EN (exigência 1); experiência prévia em finanças valorizada, CV tem pouca; exige mestrado em curso ou convenção de estágio, risco.</v>
      </c>
      <c r="S108" s="30" t="str">
        <f aca="false">'Dados completos'!AK86</f>
        <v>Por confirmar</v>
      </c>
      <c r="T108" s="24" t="str">
        <f aca="false">'Dados completos'!AP86</f>
        <v>Parcial (agregador/título)</v>
      </c>
      <c r="U108" s="30" t="str">
        <f aca="false">'Dados completos'!AO86</f>
        <v>Direto (site/ATS da empresa)</v>
      </c>
      <c r="V108" s="32" t="str">
        <f aca="false">HYPERLINK('Dados completos'!AN86,"Abrir")</f>
        <v>Abrir</v>
      </c>
    </row>
    <row r="109" customFormat="false" ht="45.75" hidden="false" customHeight="true" outlineLevel="0" collapsed="false">
      <c r="A109" s="24" t="n">
        <f aca="false">'Dados completos'!A75</f>
        <v>72</v>
      </c>
      <c r="B109" s="25" t="str">
        <f aca="false">'Dados completos'!AL75</f>
        <v>Prioridade</v>
      </c>
      <c r="C109" s="24" t="n">
        <f aca="false">'Dados completos'!Y75</f>
        <v>3.6</v>
      </c>
      <c r="D109" s="26" t="n">
        <f aca="false">'Dados completos'!AF75</f>
        <v>57.95</v>
      </c>
      <c r="E109" s="27" t="n">
        <f aca="false">'Dados completos'!AH75</f>
        <v>0.010954</v>
      </c>
      <c r="F109" s="28" t="str">
        <f aca="false">'Dados completos'!AI75</f>
        <v>Baixa</v>
      </c>
      <c r="G109" s="29" t="str">
        <f aca="false">'Dados completos'!B75</f>
        <v>PAI Partners</v>
      </c>
      <c r="H109" s="30" t="str">
        <f aca="false">'Dados completos'!C75</f>
        <v>Paris Investment Group internship (6 meses, início março 2027)</v>
      </c>
      <c r="I109" s="30" t="str">
        <f aca="false">'Dados completos'!E75</f>
        <v>VC / private equity</v>
      </c>
      <c r="J109" s="24" t="str">
        <f aca="false">'Dados completos'!F75</f>
        <v>França</v>
      </c>
      <c r="K109" s="30" t="str">
        <f aca="false">'Dados completos'!G75</f>
        <v>Paris</v>
      </c>
      <c r="L109" s="30" t="str">
        <f aca="false">'Dados completos'!H75</f>
        <v>Não indicado (provável presencial)</v>
      </c>
      <c r="M109" s="30" t="str">
        <f aca="false">'Dados completos'!I75</f>
        <v>Mar 2027 (não é janeiro)</v>
      </c>
      <c r="N109" s="31" t="str">
        <f aca="false">'Dados completos'!O75</f>
        <v>Não indicado</v>
      </c>
      <c r="O109" s="28" t="str">
        <f aca="false">'Dados completos'!V75</f>
        <v>Muito alta</v>
      </c>
      <c r="P109" s="30" t="str">
        <f aca="false">IF('Dados completos'!R75="","n/d",IF('Dados completos'!R75='Dados completos'!S75,TEXT('Dados completos'!R75,"#,##0"),TEXT('Dados completos'!R75,"#,##0")&amp;", "&amp;TEXT('Dados completos'!S75,"#,##0")))</f>
        <v>1,500, 2,500</v>
      </c>
      <c r="Q109" s="30" t="str">
        <f aca="false">'Dados completos'!M75</f>
        <v>Inglês (ver oferta)</v>
      </c>
      <c r="R109" s="30" t="str">
        <f aca="false">'Dados completos'!AJ75</f>
        <v>Língua-chave EN (exigência 0.7); pede experiência prévia em IB/PE/consultoria, o CV mostrado não tem; exige mestrado em curso ou convenção de estágio, risco.</v>
      </c>
      <c r="S109" s="30" t="str">
        <f aca="false">'Dados completos'!AK75</f>
        <v>Por confirmar</v>
      </c>
      <c r="T109" s="24" t="str">
        <f aca="false">'Dados completos'!AP75</f>
        <v>Parcial (agregador/título)</v>
      </c>
      <c r="U109" s="30" t="str">
        <f aca="false">'Dados completos'!AO75</f>
        <v>Direto (site/ATS da empresa)</v>
      </c>
      <c r="V109" s="32" t="str">
        <f aca="false">HYPERLINK('Dados completos'!AN75,"Abrir")</f>
        <v>Abrir</v>
      </c>
    </row>
    <row r="110" customFormat="false" ht="45.75" hidden="false" customHeight="true" outlineLevel="0" collapsed="false">
      <c r="A110" s="24" t="n">
        <f aca="false">'Dados completos'!A82</f>
        <v>79</v>
      </c>
      <c r="B110" s="25" t="str">
        <f aca="false">'Dados completos'!AL82</f>
        <v>Prioridade</v>
      </c>
      <c r="C110" s="24" t="n">
        <f aca="false">'Dados completos'!Y82</f>
        <v>3.6</v>
      </c>
      <c r="D110" s="26" t="n">
        <f aca="false">'Dados completos'!AF82</f>
        <v>57.5</v>
      </c>
      <c r="E110" s="27" t="n">
        <f aca="false">'Dados completos'!AH82</f>
        <v>0.0109</v>
      </c>
      <c r="F110" s="28" t="str">
        <f aca="false">'Dados completos'!AI82</f>
        <v>Baixa</v>
      </c>
      <c r="G110" s="29" t="str">
        <f aca="false">'Dados completos'!B82</f>
        <v>LGT Capital Partners</v>
      </c>
      <c r="H110" s="30" t="str">
        <f aca="false">'Dados completos'!C82</f>
        <v>Private Equity Off-Cycle Internship, Investment Team, Capital Partnerships</v>
      </c>
      <c r="I110" s="30" t="str">
        <f aca="false">'Dados completos'!E82</f>
        <v>VC / private equity</v>
      </c>
      <c r="J110" s="24" t="str">
        <f aca="false">'Dados completos'!F82</f>
        <v>Reino Unido</v>
      </c>
      <c r="K110" s="30" t="str">
        <f aca="false">'Dados completos'!G82</f>
        <v>Londres</v>
      </c>
      <c r="L110" s="30" t="str">
        <f aca="false">'Dados completos'!H82</f>
        <v>Não indicado (provável presencial)</v>
      </c>
      <c r="M110" s="30" t="str">
        <f aca="false">'Dados completos'!I82</f>
        <v>Por confirmar</v>
      </c>
      <c r="N110" s="31" t="str">
        <f aca="false">'Dados completos'!O82</f>
        <v>Não indicado</v>
      </c>
      <c r="O110" s="28" t="str">
        <f aca="false">'Dados completos'!V82</f>
        <v>Muito alta</v>
      </c>
      <c r="P110" s="30" t="str">
        <f aca="false">IF('Dados completos'!R82="","n/d",IF('Dados completos'!R82='Dados completos'!S82,TEXT('Dados completos'!R82,"#,##0"),TEXT('Dados completos'!R82,"#,##0")&amp;", "&amp;TEXT('Dados completos'!S82,"#,##0")))</f>
        <v>2,800, 4,000</v>
      </c>
      <c r="Q110" s="30" t="str">
        <f aca="false">'Dados completos'!M82</f>
        <v>Inglês (ver oferta)</v>
      </c>
      <c r="R110" s="30" t="str">
        <f aca="false">'Dados completos'!AJ82</f>
        <v>Língua-chave EN (exigência 1); pede experiência prévia em IB/PE/consultoria, o CV mostrado não tem; exige mestrado em curso ou convenção de estágio, risco.</v>
      </c>
      <c r="S110" s="30" t="str">
        <f aca="false">'Dados completos'!AK82</f>
        <v>Por confirmar</v>
      </c>
      <c r="T110" s="24" t="str">
        <f aca="false">'Dados completos'!AP82</f>
        <v>Parcial (agregador/título)</v>
      </c>
      <c r="U110" s="30" t="str">
        <f aca="false">'Dados completos'!AO82</f>
        <v>Anúncio em plataforma</v>
      </c>
      <c r="V110" s="32" t="str">
        <f aca="false">HYPERLINK('Dados completos'!AN82,"Abrir")</f>
        <v>Abrir</v>
      </c>
    </row>
    <row r="111" customFormat="false" ht="45.75" hidden="false" customHeight="true" outlineLevel="0" collapsed="false">
      <c r="A111" s="24" t="n">
        <f aca="false">'Dados completos'!A83</f>
        <v>80</v>
      </c>
      <c r="B111" s="25" t="str">
        <f aca="false">'Dados completos'!AL83</f>
        <v>Prioridade</v>
      </c>
      <c r="C111" s="24" t="n">
        <f aca="false">'Dados completos'!Y83</f>
        <v>3.6</v>
      </c>
      <c r="D111" s="26" t="n">
        <f aca="false">'Dados completos'!AF83</f>
        <v>57.5</v>
      </c>
      <c r="E111" s="27" t="n">
        <f aca="false">'Dados completos'!AH83</f>
        <v>0.0109</v>
      </c>
      <c r="F111" s="28" t="str">
        <f aca="false">'Dados completos'!AI83</f>
        <v>Baixa</v>
      </c>
      <c r="G111" s="29" t="str">
        <f aca="false">'Dados completos'!B83</f>
        <v>LGT Capital Partners</v>
      </c>
      <c r="H111" s="30" t="str">
        <f aca="false">'Dados completos'!C83</f>
        <v>Private Equity Off-Cycle Internship, Investment Team, Capital Solutions</v>
      </c>
      <c r="I111" s="30" t="str">
        <f aca="false">'Dados completos'!E83</f>
        <v>VC / private equity</v>
      </c>
      <c r="J111" s="24" t="str">
        <f aca="false">'Dados completos'!F83</f>
        <v>Reino Unido</v>
      </c>
      <c r="K111" s="30" t="str">
        <f aca="false">'Dados completos'!G83</f>
        <v>Londres</v>
      </c>
      <c r="L111" s="30" t="str">
        <f aca="false">'Dados completos'!H83</f>
        <v>Não indicado (provável presencial)</v>
      </c>
      <c r="M111" s="30" t="str">
        <f aca="false">'Dados completos'!I83</f>
        <v>Por confirmar</v>
      </c>
      <c r="N111" s="31" t="str">
        <f aca="false">'Dados completos'!O83</f>
        <v>Não indicado</v>
      </c>
      <c r="O111" s="28" t="str">
        <f aca="false">'Dados completos'!V83</f>
        <v>Muito alta</v>
      </c>
      <c r="P111" s="30" t="str">
        <f aca="false">IF('Dados completos'!R83="","n/d",IF('Dados completos'!R83='Dados completos'!S83,TEXT('Dados completos'!R83,"#,##0"),TEXT('Dados completos'!R83,"#,##0")&amp;", "&amp;TEXT('Dados completos'!S83,"#,##0")))</f>
        <v>2,800, 4,000</v>
      </c>
      <c r="Q111" s="30" t="str">
        <f aca="false">'Dados completos'!M83</f>
        <v>Inglês (ver oferta)</v>
      </c>
      <c r="R111" s="30" t="str">
        <f aca="false">'Dados completos'!AJ83</f>
        <v>Língua-chave EN (exigência 1); pede experiência prévia em IB/PE/consultoria, o CV mostrado não tem; exige mestrado em curso ou convenção de estágio, risco.</v>
      </c>
      <c r="S111" s="30" t="str">
        <f aca="false">'Dados completos'!AK83</f>
        <v>Por confirmar</v>
      </c>
      <c r="T111" s="24" t="str">
        <f aca="false">'Dados completos'!AP83</f>
        <v>Parcial (agregador/título)</v>
      </c>
      <c r="U111" s="30" t="str">
        <f aca="false">'Dados completos'!AO83</f>
        <v>Anúncio em plataforma</v>
      </c>
      <c r="V111" s="32" t="str">
        <f aca="false">HYPERLINK('Dados completos'!AN83,"Abrir")</f>
        <v>Abrir</v>
      </c>
    </row>
    <row r="112" customFormat="false" ht="45.75" hidden="false" customHeight="true" outlineLevel="0" collapsed="false">
      <c r="A112" s="24" t="n">
        <f aca="false">'Dados completos'!A108</f>
        <v>105</v>
      </c>
      <c r="B112" s="25" t="str">
        <f aca="false">'Dados completos'!AL108</f>
        <v>Prioridade</v>
      </c>
      <c r="C112" s="24" t="n">
        <f aca="false">'Dados completos'!Y108</f>
        <v>3.6</v>
      </c>
      <c r="D112" s="26" t="n">
        <f aca="false">'Dados completos'!AF108</f>
        <v>57.5</v>
      </c>
      <c r="E112" s="27" t="n">
        <f aca="false">'Dados completos'!AH108</f>
        <v>0.0109</v>
      </c>
      <c r="F112" s="28" t="str">
        <f aca="false">'Dados completos'!AI108</f>
        <v>Baixa</v>
      </c>
      <c r="G112" s="29" t="str">
        <f aca="false">'Dados completos'!B108</f>
        <v>Goldman Sachs</v>
      </c>
      <c r="H112" s="30" t="str">
        <f aca="false">'Dados completos'!C108</f>
        <v>2027 Asset Management, Private Investing, Private Equity, Seasonal/Off-Cycle</v>
      </c>
      <c r="I112" s="30" t="str">
        <f aca="false">'Dados completos'!E108</f>
        <v>Banca de investimento</v>
      </c>
      <c r="J112" s="24" t="str">
        <f aca="false">'Dados completos'!F108</f>
        <v>Reino Unido</v>
      </c>
      <c r="K112" s="30" t="str">
        <f aca="false">'Dados completos'!G108</f>
        <v>Londres</v>
      </c>
      <c r="L112" s="30" t="str">
        <f aca="false">'Dados completos'!H108</f>
        <v>Não indicado (provável presencial)</v>
      </c>
      <c r="M112" s="30" t="str">
        <f aca="false">'Dados completos'!I108</f>
        <v>2027 (mês por confirmar)</v>
      </c>
      <c r="N112" s="31" t="str">
        <f aca="false">'Dados completos'!O108</f>
        <v>Não indicado</v>
      </c>
      <c r="O112" s="28" t="str">
        <f aca="false">'Dados completos'!V108</f>
        <v>Muito alta</v>
      </c>
      <c r="P112" s="30" t="str">
        <f aca="false">IF('Dados completos'!R108="","n/d",IF('Dados completos'!R108='Dados completos'!S108,TEXT('Dados completos'!R108,"#,##0"),TEXT('Dados completos'!R108,"#,##0")&amp;", "&amp;TEXT('Dados completos'!S108,"#,##0")))</f>
        <v>2,800, 4,000</v>
      </c>
      <c r="Q112" s="30" t="str">
        <f aca="false">'Dados completos'!M108</f>
        <v>Inglês (ver oferta)</v>
      </c>
      <c r="R112" s="30" t="str">
        <f aca="false">'Dados completos'!AJ108</f>
        <v>Língua-chave EN (exigência 1); pede experiência prévia em IB/PE/consultoria, o CV mostrado não tem; exige mestrado em curso ou convenção de estágio, risco.</v>
      </c>
      <c r="S112" s="30" t="str">
        <f aca="false">'Dados completos'!AK108</f>
        <v>Por confirmar</v>
      </c>
      <c r="T112" s="24" t="str">
        <f aca="false">'Dados completos'!AP108</f>
        <v>Parcial (agregador/título)</v>
      </c>
      <c r="U112" s="30" t="str">
        <f aca="false">'Dados completos'!AO108</f>
        <v>Direto (site/ATS da empresa)</v>
      </c>
      <c r="V112" s="32" t="str">
        <f aca="false">HYPERLINK('Dados completos'!AN108,"Abrir")</f>
        <v>Abrir</v>
      </c>
    </row>
    <row r="113" customFormat="false" ht="45.75" hidden="false" customHeight="true" outlineLevel="0" collapsed="false">
      <c r="A113" s="24" t="n">
        <f aca="false">'Dados completos'!A71</f>
        <v>68</v>
      </c>
      <c r="B113" s="25" t="str">
        <f aca="false">'Dados completos'!AL71</f>
        <v>Prioridade</v>
      </c>
      <c r="C113" s="24" t="n">
        <f aca="false">'Dados completos'!Y71</f>
        <v>3.6</v>
      </c>
      <c r="D113" s="26" t="n">
        <f aca="false">'Dados completos'!AF71</f>
        <v>54.5</v>
      </c>
      <c r="E113" s="27" t="n">
        <f aca="false">'Dados completos'!AH71</f>
        <v>0.01054</v>
      </c>
      <c r="F113" s="28" t="str">
        <f aca="false">'Dados completos'!AI71</f>
        <v>Baixa</v>
      </c>
      <c r="G113" s="29" t="str">
        <f aca="false">'Dados completos'!B71</f>
        <v>Revaia</v>
      </c>
      <c r="H113" s="30" t="str">
        <f aca="false">'Dados completos'!C71</f>
        <v>Private Equity Investment Intern, Technology (6 meses desde janeiro 2027)</v>
      </c>
      <c r="I113" s="30" t="str">
        <f aca="false">'Dados completos'!E71</f>
        <v>VC / private equity</v>
      </c>
      <c r="J113" s="24" t="str">
        <f aca="false">'Dados completos'!F71</f>
        <v>Reino Unido</v>
      </c>
      <c r="K113" s="30" t="str">
        <f aca="false">'Dados completos'!G71</f>
        <v>Londres</v>
      </c>
      <c r="L113" s="30" t="str">
        <f aca="false">'Dados completos'!H71</f>
        <v>Não indicado (provável presencial)</v>
      </c>
      <c r="M113" s="30" t="str">
        <f aca="false">'Dados completos'!I71</f>
        <v>Jan 2027</v>
      </c>
      <c r="N113" s="31" t="str">
        <f aca="false">'Dados completos'!O71</f>
        <v>Não indicado</v>
      </c>
      <c r="O113" s="28" t="str">
        <f aca="false">'Dados completos'!V71</f>
        <v>Muito alta</v>
      </c>
      <c r="P113" s="30" t="str">
        <f aca="false">IF('Dados completos'!R71="","n/d",IF('Dados completos'!R71='Dados completos'!S71,TEXT('Dados completos'!R71,"#,##0"),TEXT('Dados completos'!R71,"#,##0")&amp;", "&amp;TEXT('Dados completos'!S71,"#,##0")))</f>
        <v>2,800, 4,000</v>
      </c>
      <c r="Q113" s="30" t="str">
        <f aca="false">'Dados completos'!M71</f>
        <v>Inglês profissional</v>
      </c>
      <c r="R113" s="30" t="str">
        <f aca="false">'Dados completos'!AJ71</f>
        <v>Língua-chave EN (exigência 1); pede experiência prévia em IB/PE/consultoria, o CV mostrado não tem; exige mestrado em curso ou convenção de estágio, risco.</v>
      </c>
      <c r="S113" s="30" t="str">
        <f aca="false">'Dados completos'!AK71</f>
        <v>Aberta (prazo não indicado)</v>
      </c>
      <c r="T113" s="24" t="str">
        <f aca="false">'Dados completos'!AP71</f>
        <v>Verificada na página</v>
      </c>
      <c r="U113" s="30" t="str">
        <f aca="false">'Dados completos'!AO71</f>
        <v>Direto (site/ATS da empresa)</v>
      </c>
      <c r="V113" s="32" t="str">
        <f aca="false">HYPERLINK('Dados completos'!AN71,"Abrir")</f>
        <v>Abrir</v>
      </c>
    </row>
    <row r="114" customFormat="false" ht="45.75" hidden="false" customHeight="true" outlineLevel="0" collapsed="false">
      <c r="A114" s="24" t="n">
        <f aca="false">'Dados completos'!A76</f>
        <v>73</v>
      </c>
      <c r="B114" s="25" t="str">
        <f aca="false">'Dados completos'!AL76</f>
        <v>Prioridade</v>
      </c>
      <c r="C114" s="24" t="n">
        <f aca="false">'Dados completos'!Y76</f>
        <v>3.6</v>
      </c>
      <c r="D114" s="26" t="n">
        <f aca="false">'Dados completos'!AF76</f>
        <v>54.5</v>
      </c>
      <c r="E114" s="27" t="n">
        <f aca="false">'Dados completos'!AH76</f>
        <v>0.01054</v>
      </c>
      <c r="F114" s="28" t="str">
        <f aca="false">'Dados completos'!AI76</f>
        <v>Baixa</v>
      </c>
      <c r="G114" s="29" t="str">
        <f aca="false">'Dados completos'!B76</f>
        <v>PAI Partners</v>
      </c>
      <c r="H114" s="30" t="str">
        <f aca="false">'Dados completos'!C76</f>
        <v>London Investment Group internship (6 meses, H1 2027)</v>
      </c>
      <c r="I114" s="30" t="str">
        <f aca="false">'Dados completos'!E76</f>
        <v>VC / private equity</v>
      </c>
      <c r="J114" s="24" t="str">
        <f aca="false">'Dados completos'!F76</f>
        <v>Reino Unido</v>
      </c>
      <c r="K114" s="30" t="str">
        <f aca="false">'Dados completos'!G76</f>
        <v>Londres</v>
      </c>
      <c r="L114" s="30" t="str">
        <f aca="false">'Dados completos'!H76</f>
        <v>Não indicado (provável presencial)</v>
      </c>
      <c r="M114" s="30" t="str">
        <f aca="false">'Dados completos'!I76</f>
        <v>H1 2027 (indicar disponibilidade)</v>
      </c>
      <c r="N114" s="31" t="str">
        <f aca="false">'Dados completos'!O76</f>
        <v>Não indicado</v>
      </c>
      <c r="O114" s="28" t="str">
        <f aca="false">'Dados completos'!V76</f>
        <v>Muito alta</v>
      </c>
      <c r="P114" s="30" t="str">
        <f aca="false">IF('Dados completos'!R76="","n/d",IF('Dados completos'!R76='Dados completos'!S76,TEXT('Dados completos'!R76,"#,##0"),TEXT('Dados completos'!R76,"#,##0")&amp;", "&amp;TEXT('Dados completos'!S76,"#,##0")))</f>
        <v>2,800, 4,000</v>
      </c>
      <c r="Q114" s="30" t="str">
        <f aca="false">'Dados completos'!M76</f>
        <v>Inglês</v>
      </c>
      <c r="R114" s="30" t="str">
        <f aca="false">'Dados completos'!AJ76</f>
        <v>Língua-chave EN (exigência 1); pede experiência prévia em IB/PE/consultoria, o CV mostrado não tem; exige mestrado em curso ou convenção de estágio, risco.</v>
      </c>
      <c r="S114" s="30" t="str">
        <f aca="false">'Dados completos'!AK76</f>
        <v>Aberta (prazo não indicado)</v>
      </c>
      <c r="T114" s="24" t="str">
        <f aca="false">'Dados completos'!AP76</f>
        <v>Verificada na página</v>
      </c>
      <c r="U114" s="30" t="str">
        <f aca="false">'Dados completos'!AO76</f>
        <v>Direto (site/ATS da empresa)</v>
      </c>
      <c r="V114" s="32" t="str">
        <f aca="false">HYPERLINK('Dados completos'!AN76,"Abrir")</f>
        <v>Abrir</v>
      </c>
    </row>
    <row r="115" customFormat="false" ht="45.75" hidden="false" customHeight="true" outlineLevel="0" collapsed="false">
      <c r="A115" s="24" t="n">
        <f aca="false">'Dados completos'!A84</f>
        <v>81</v>
      </c>
      <c r="B115" s="25" t="str">
        <f aca="false">'Dados completos'!AL84</f>
        <v>Prioridade</v>
      </c>
      <c r="C115" s="24" t="n">
        <f aca="false">'Dados completos'!Y84</f>
        <v>3.6</v>
      </c>
      <c r="D115" s="26" t="n">
        <f aca="false">'Dados completos'!AF84</f>
        <v>54.5</v>
      </c>
      <c r="E115" s="27" t="n">
        <f aca="false">'Dados completos'!AH84</f>
        <v>0.01054</v>
      </c>
      <c r="F115" s="28" t="str">
        <f aca="false">'Dados completos'!AI84</f>
        <v>Baixa</v>
      </c>
      <c r="G115" s="29" t="str">
        <f aca="false">'Dados completos'!B84</f>
        <v>Apollo Global Management</v>
      </c>
      <c r="H115" s="30" t="str">
        <f aca="false">'Dados completos'!C84</f>
        <v>Off-Cycle Internship, Private Equity &amp; Credit</v>
      </c>
      <c r="I115" s="30" t="str">
        <f aca="false">'Dados completos'!E84</f>
        <v>VC / private equity</v>
      </c>
      <c r="J115" s="24" t="str">
        <f aca="false">'Dados completos'!F84</f>
        <v>Reino Unido</v>
      </c>
      <c r="K115" s="30" t="str">
        <f aca="false">'Dados completos'!G84</f>
        <v>Londres</v>
      </c>
      <c r="L115" s="30" t="str">
        <f aca="false">'Dados completos'!H84</f>
        <v>Não indicado (provável presencial)</v>
      </c>
      <c r="M115" s="30" t="str">
        <f aca="false">'Dados completos'!I84</f>
        <v>Por confirmar</v>
      </c>
      <c r="N115" s="31" t="str">
        <f aca="false">'Dados completos'!O84</f>
        <v>Não indicado</v>
      </c>
      <c r="O115" s="28" t="str">
        <f aca="false">'Dados completos'!V84</f>
        <v>Muito alta</v>
      </c>
      <c r="P115" s="30" t="str">
        <f aca="false">IF('Dados completos'!R84="","n/d",IF('Dados completos'!R84='Dados completos'!S84,TEXT('Dados completos'!R84,"#,##0"),TEXT('Dados completos'!R84,"#,##0")&amp;", "&amp;TEXT('Dados completos'!S84,"#,##0")))</f>
        <v>2,800, 4,000</v>
      </c>
      <c r="Q115" s="30" t="str">
        <f aca="false">'Dados completos'!M84</f>
        <v>Inglês (ver oferta)</v>
      </c>
      <c r="R115" s="30" t="str">
        <f aca="false">'Dados completos'!AJ84</f>
        <v>Língua-chave EN (exigência 1); pede experiência prévia em IB/PE/consultoria, o CV mostrado não tem; exige mestrado em curso ou convenção de estágio, risco.</v>
      </c>
      <c r="S115" s="30" t="str">
        <f aca="false">'Dados completos'!AK84</f>
        <v>Por confirmar</v>
      </c>
      <c r="T115" s="24" t="str">
        <f aca="false">'Dados completos'!AP84</f>
        <v>Parcial (agregador/título)</v>
      </c>
      <c r="U115" s="30" t="str">
        <f aca="false">'Dados completos'!AO84</f>
        <v>Anúncio em plataforma</v>
      </c>
      <c r="V115" s="32" t="str">
        <f aca="false">HYPERLINK('Dados completos'!AN84,"Abrir")</f>
        <v>Abrir</v>
      </c>
    </row>
    <row r="116" customFormat="false" ht="45.75" hidden="false" customHeight="true" outlineLevel="0" collapsed="false">
      <c r="A116" s="24" t="n">
        <f aca="false">'Dados completos'!A91</f>
        <v>88</v>
      </c>
      <c r="B116" s="25" t="str">
        <f aca="false">'Dados completos'!AL91</f>
        <v>Prioridade</v>
      </c>
      <c r="C116" s="24" t="n">
        <f aca="false">'Dados completos'!Y91</f>
        <v>3.5</v>
      </c>
      <c r="D116" s="26" t="n">
        <f aca="false">'Dados completos'!AF91</f>
        <v>50.6</v>
      </c>
      <c r="E116" s="27" t="n">
        <f aca="false">'Dados completos'!AH91</f>
        <v>0.010072</v>
      </c>
      <c r="F116" s="28" t="str">
        <f aca="false">'Dados completos'!AI91</f>
        <v>Baixa</v>
      </c>
      <c r="G116" s="29" t="str">
        <f aca="false">'Dados completos'!B91</f>
        <v>Astorg</v>
      </c>
      <c r="H116" s="30" t="str">
        <f aca="false">'Dados completos'!C91</f>
        <v>Private Equity Internship Mid-Cap (Frankfurt), January 2027</v>
      </c>
      <c r="I116" s="30" t="str">
        <f aca="false">'Dados completos'!E91</f>
        <v>VC / private equity</v>
      </c>
      <c r="J116" s="24" t="str">
        <f aca="false">'Dados completos'!F91</f>
        <v>Alemanha</v>
      </c>
      <c r="K116" s="30" t="str">
        <f aca="false">'Dados completos'!G91</f>
        <v>Frankfurt</v>
      </c>
      <c r="L116" s="30" t="str">
        <f aca="false">'Dados completos'!H91</f>
        <v>Não indicado (provável presencial)</v>
      </c>
      <c r="M116" s="30" t="str">
        <f aca="false">'Dados completos'!I91</f>
        <v>Jan 2027</v>
      </c>
      <c r="N116" s="31" t="n">
        <f aca="false">'Dados completos'!O91</f>
        <v>46356</v>
      </c>
      <c r="O116" s="28" t="str">
        <f aca="false">'Dados completos'!V91</f>
        <v>Muito alta</v>
      </c>
      <c r="P116" s="30" t="str">
        <f aca="false">IF('Dados completos'!R91="","n/d",IF('Dados completos'!R91='Dados completos'!S91,TEXT('Dados completos'!R91,"#,##0"),TEXT('Dados completos'!R91,"#,##0")&amp;", "&amp;TEXT('Dados completos'!S91,"#,##0")))</f>
        <v>1,800, 2,800</v>
      </c>
      <c r="Q116" s="30" t="str">
        <f aca="false">'Dados completos'!M91</f>
        <v>Inglês (ver oferta)</v>
      </c>
      <c r="R116" s="30" t="str">
        <f aca="false">'Dados completos'!AJ91</f>
        <v>Língua-chave DE (exigência 0.4); experiência prévia em finanças valorizada, CV tem pouca; exige mestrado em curso ou convenção de estágio, risco.</v>
      </c>
      <c r="S116" s="30" t="str">
        <f aca="false">'Dados completos'!AK91</f>
        <v>Aberta, prazo definido</v>
      </c>
      <c r="T116" s="24" t="str">
        <f aca="false">'Dados completos'!AP91</f>
        <v>Parcial (agregador/título)</v>
      </c>
      <c r="U116" s="30" t="str">
        <f aca="false">'Dados completos'!AO91</f>
        <v>Direto (site/ATS da empresa)</v>
      </c>
      <c r="V116" s="32" t="str">
        <f aca="false">HYPERLINK('Dados completos'!AN91,"Abrir")</f>
        <v>Abrir</v>
      </c>
    </row>
    <row r="117" customFormat="false" ht="45.75" hidden="false" customHeight="true" outlineLevel="0" collapsed="false">
      <c r="A117" s="24" t="n">
        <f aca="false">'Dados completos'!A54</f>
        <v>51</v>
      </c>
      <c r="B117" s="25" t="str">
        <f aca="false">'Dados completos'!AL54</f>
        <v>Prioridade</v>
      </c>
      <c r="C117" s="24" t="n">
        <f aca="false">'Dados completos'!Y54</f>
        <v>3.5</v>
      </c>
      <c r="D117" s="26" t="n">
        <f aca="false">'Dados completos'!AF54</f>
        <v>50.5</v>
      </c>
      <c r="E117" s="27" t="n">
        <f aca="false">'Dados completos'!AH54</f>
        <v>0.01006</v>
      </c>
      <c r="F117" s="28" t="str">
        <f aca="false">'Dados completos'!AI54</f>
        <v>Baixa</v>
      </c>
      <c r="G117" s="29" t="str">
        <f aca="false">'Dados completos'!B54</f>
        <v>Ardian</v>
      </c>
      <c r="H117" s="30" t="str">
        <f aca="false">'Dados completos'!C54</f>
        <v>Expansion Intern, January 2027 (Milão)</v>
      </c>
      <c r="I117" s="30" t="str">
        <f aca="false">'Dados completos'!E54</f>
        <v>VC / private equity</v>
      </c>
      <c r="J117" s="24" t="str">
        <f aca="false">'Dados completos'!F54</f>
        <v>Itália</v>
      </c>
      <c r="K117" s="30" t="str">
        <f aca="false">'Dados completos'!G54</f>
        <v>Milão</v>
      </c>
      <c r="L117" s="30" t="str">
        <f aca="false">'Dados completos'!H54</f>
        <v>Não indicado (provável presencial)</v>
      </c>
      <c r="M117" s="30" t="str">
        <f aca="false">'Dados completos'!I54</f>
        <v>Jan 2027</v>
      </c>
      <c r="N117" s="31" t="str">
        <f aca="false">'Dados completos'!O54</f>
        <v>Não indicado</v>
      </c>
      <c r="O117" s="28" t="str">
        <f aca="false">'Dados completos'!V54</f>
        <v>Muito alta</v>
      </c>
      <c r="P117" s="30" t="str">
        <f aca="false">IF('Dados completos'!R54="","n/d",IF('Dados completos'!R54='Dados completos'!S54,TEXT('Dados completos'!R54,"#,##0"),TEXT('Dados completos'!R54,"#,##0")&amp;", "&amp;TEXT('Dados completos'!S54,"#,##0")))</f>
        <v>800, 1,500</v>
      </c>
      <c r="Q117" s="30" t="str">
        <f aca="false">'Dados completos'!M54</f>
        <v>Italiano e inglês (ver oferta)</v>
      </c>
      <c r="R117" s="30" t="str">
        <f aca="false">'Dados completos'!AJ54</f>
        <v>Língua-chave IT (exigência 0.5); experiência prévia em finanças valorizada, CV tem pouca; exige mestrado em curso ou convenção de estágio, risco.</v>
      </c>
      <c r="S117" s="30" t="str">
        <f aca="false">'Dados completos'!AK54</f>
        <v>Por confirmar</v>
      </c>
      <c r="T117" s="24" t="str">
        <f aca="false">'Dados completos'!AP54</f>
        <v>Parcial (agregador/título)</v>
      </c>
      <c r="U117" s="30" t="str">
        <f aca="false">'Dados completos'!AO54</f>
        <v>Direto (site/ATS da empresa)</v>
      </c>
      <c r="V117" s="32" t="str">
        <f aca="false">HYPERLINK('Dados completos'!AN54,"Abrir")</f>
        <v>Abrir</v>
      </c>
    </row>
    <row r="118" customFormat="false" ht="45.75" hidden="false" customHeight="true" outlineLevel="0" collapsed="false">
      <c r="A118" s="24" t="n">
        <f aca="false">'Dados completos'!A81</f>
        <v>78</v>
      </c>
      <c r="B118" s="25" t="str">
        <f aca="false">'Dados completos'!AL81</f>
        <v>Prioridade</v>
      </c>
      <c r="C118" s="24" t="n">
        <f aca="false">'Dados completos'!Y81</f>
        <v>3.5</v>
      </c>
      <c r="D118" s="26" t="n">
        <f aca="false">'Dados completos'!AF81</f>
        <v>50.45</v>
      </c>
      <c r="E118" s="27" t="n">
        <f aca="false">'Dados completos'!AH81</f>
        <v>0.010054</v>
      </c>
      <c r="F118" s="28" t="str">
        <f aca="false">'Dados completos'!AI81</f>
        <v>Baixa</v>
      </c>
      <c r="G118" s="29" t="str">
        <f aca="false">'Dados completos'!B81</f>
        <v>LGT Capital Partners</v>
      </c>
      <c r="H118" s="30" t="str">
        <f aca="false">'Dados completos'!C81</f>
        <v>Private Equity Off-Cycle Internship, Direct Co-investment Team</v>
      </c>
      <c r="I118" s="30" t="str">
        <f aca="false">'Dados completos'!E81</f>
        <v>VC / private equity</v>
      </c>
      <c r="J118" s="24" t="str">
        <f aca="false">'Dados completos'!F81</f>
        <v>Suíça</v>
      </c>
      <c r="K118" s="30" t="str">
        <f aca="false">'Dados completos'!G81</f>
        <v>Pfäffikon</v>
      </c>
      <c r="L118" s="30" t="str">
        <f aca="false">'Dados completos'!H81</f>
        <v>Não indicado (provável presencial)</v>
      </c>
      <c r="M118" s="30" t="str">
        <f aca="false">'Dados completos'!I81</f>
        <v>Por confirmar</v>
      </c>
      <c r="N118" s="31" t="str">
        <f aca="false">'Dados completos'!O81</f>
        <v>Não indicado</v>
      </c>
      <c r="O118" s="28" t="str">
        <f aca="false">'Dados completos'!V81</f>
        <v>Muito alta</v>
      </c>
      <c r="P118" s="30" t="str">
        <f aca="false">IF('Dados completos'!R81="","n/d",IF('Dados completos'!R81='Dados completos'!S81,TEXT('Dados completos'!R81,"#,##0"),TEXT('Dados completos'!R81,"#,##0")&amp;", "&amp;TEXT('Dados completos'!S81,"#,##0")))</f>
        <v>3,000, 4,500</v>
      </c>
      <c r="Q118" s="30" t="str">
        <f aca="false">'Dados completos'!M81</f>
        <v>Inglês (ver oferta)</v>
      </c>
      <c r="R118" s="30" t="str">
        <f aca="false">'Dados completos'!AJ81</f>
        <v>Língua-chave DE (exigência 0.3); pede experiência prévia em IB/PE/consultoria, o CV mostrado não tem; exige mestrado em curso ou convenção de estágio, risco.</v>
      </c>
      <c r="S118" s="30" t="str">
        <f aca="false">'Dados completos'!AK81</f>
        <v>Por confirmar</v>
      </c>
      <c r="T118" s="24" t="str">
        <f aca="false">'Dados completos'!AP81</f>
        <v>Parcial (agregador/título)</v>
      </c>
      <c r="U118" s="30" t="str">
        <f aca="false">'Dados completos'!AO81</f>
        <v>Anúncio em plataforma</v>
      </c>
      <c r="V118" s="32" t="str">
        <f aca="false">HYPERLINK('Dados completos'!AN81,"Abrir")</f>
        <v>Abrir</v>
      </c>
    </row>
    <row r="119" customFormat="false" ht="45.75" hidden="false" customHeight="true" outlineLevel="0" collapsed="false">
      <c r="A119" s="24" t="n">
        <f aca="false">'Dados completos'!A36</f>
        <v>33</v>
      </c>
      <c r="B119" s="25" t="str">
        <f aca="false">'Dados completos'!AL36</f>
        <v>Candidatar (reach)</v>
      </c>
      <c r="C119" s="24" t="n">
        <f aca="false">'Dados completos'!Y36</f>
        <v>3.4</v>
      </c>
      <c r="D119" s="26" t="n">
        <f aca="false">'Dados completos'!AF36</f>
        <v>47.75</v>
      </c>
      <c r="E119" s="27" t="n">
        <f aca="false">'Dados completos'!AH36</f>
        <v>0.00973</v>
      </c>
      <c r="F119" s="28" t="str">
        <f aca="false">'Dados completos'!AI36</f>
        <v>Baixa</v>
      </c>
      <c r="G119" s="29" t="str">
        <f aca="false">'Dados completos'!B36</f>
        <v>Armira</v>
      </c>
      <c r="H119" s="30" t="str">
        <f aca="false">'Dados completos'!C36</f>
        <v>Growth Investment Intern (Munique)</v>
      </c>
      <c r="I119" s="30" t="str">
        <f aca="false">'Dados completos'!E36</f>
        <v>VC / private equity</v>
      </c>
      <c r="J119" s="24" t="str">
        <f aca="false">'Dados completos'!F36</f>
        <v>Alemanha</v>
      </c>
      <c r="K119" s="30" t="str">
        <f aca="false">'Dados completos'!G36</f>
        <v>Munique</v>
      </c>
      <c r="L119" s="30" t="str">
        <f aca="false">'Dados completos'!H36</f>
        <v>Não indicado (provável presencial)</v>
      </c>
      <c r="M119" s="30" t="str">
        <f aca="false">'Dados completos'!I36</f>
        <v>Jan 2027 (1 jan-31 mar)</v>
      </c>
      <c r="N119" s="31" t="str">
        <f aca="false">'Dados completos'!O36</f>
        <v>Não indicado</v>
      </c>
      <c r="O119" s="28" t="str">
        <f aca="false">'Dados completos'!V36</f>
        <v>Muito alta</v>
      </c>
      <c r="P119" s="30" t="str">
        <f aca="false">IF('Dados completos'!R36="","n/d",IF('Dados completos'!R36='Dados completos'!S36,TEXT('Dados completos'!R36,"#,##0"),TEXT('Dados completos'!R36,"#,##0")&amp;", "&amp;TEXT('Dados completos'!S36,"#,##0")))</f>
        <v>1,800, 2,500</v>
      </c>
      <c r="Q119" s="30" t="str">
        <f aca="false">'Dados completos'!M36</f>
        <v>Inglês; alemão provável</v>
      </c>
      <c r="R119" s="30" t="str">
        <f aca="false">'Dados completos'!AJ36</f>
        <v>Língua-chave DE (exigência 0.5); experiência prévia em finanças valorizada, CV tem pouca; exige mestrado em curso ou convenção de estágio, risco.</v>
      </c>
      <c r="S119" s="30" t="str">
        <f aca="false">'Dados completos'!AK36</f>
        <v>Por confirmar</v>
      </c>
      <c r="T119" s="24" t="str">
        <f aca="false">'Dados completos'!AP36</f>
        <v>Parcial (agregador/título)</v>
      </c>
      <c r="U119" s="30" t="str">
        <f aca="false">'Dados completos'!AO36</f>
        <v>Direto (site/ATS da empresa)</v>
      </c>
      <c r="V119" s="32" t="str">
        <f aca="false">HYPERLINK('Dados completos'!AN36,"Abrir")</f>
        <v>Abrir</v>
      </c>
    </row>
    <row r="120" customFormat="false" ht="45.75" hidden="false" customHeight="true" outlineLevel="0" collapsed="false">
      <c r="A120" s="24" t="n">
        <f aca="false">'Dados completos'!A80</f>
        <v>77</v>
      </c>
      <c r="B120" s="25" t="str">
        <f aca="false">'Dados completos'!AL80</f>
        <v>Prioridade</v>
      </c>
      <c r="C120" s="24" t="n">
        <f aca="false">'Dados completos'!Y80</f>
        <v>3.5</v>
      </c>
      <c r="D120" s="26" t="n">
        <f aca="false">'Dados completos'!AF80</f>
        <v>47.75</v>
      </c>
      <c r="E120" s="27" t="n">
        <f aca="false">'Dados completos'!AH80</f>
        <v>0.00973</v>
      </c>
      <c r="F120" s="28" t="str">
        <f aca="false">'Dados completos'!AI80</f>
        <v>Baixa</v>
      </c>
      <c r="G120" s="29" t="str">
        <f aca="false">'Dados completos'!B80</f>
        <v>Waterland Private Equity</v>
      </c>
      <c r="H120" s="30" t="str">
        <f aca="false">'Dados completos'!C80</f>
        <v>Praktikant 3+3, Investment &amp; Performance Improvement Team (PIT)</v>
      </c>
      <c r="I120" s="30" t="str">
        <f aca="false">'Dados completos'!E80</f>
        <v>VC / private equity</v>
      </c>
      <c r="J120" s="24" t="str">
        <f aca="false">'Dados completos'!F80</f>
        <v>Alemanha</v>
      </c>
      <c r="K120" s="30" t="str">
        <f aca="false">'Dados completos'!G80</f>
        <v>Alemanha</v>
      </c>
      <c r="L120" s="30" t="str">
        <f aca="false">'Dados completos'!H80</f>
        <v>Não indicado (provável presencial)</v>
      </c>
      <c r="M120" s="30" t="str">
        <f aca="false">'Dados completos'!I80</f>
        <v>Por confirmar (3+3 meses)</v>
      </c>
      <c r="N120" s="31" t="str">
        <f aca="false">'Dados completos'!O80</f>
        <v>Não indicado</v>
      </c>
      <c r="O120" s="28" t="str">
        <f aca="false">'Dados completos'!V80</f>
        <v>Muito alta</v>
      </c>
      <c r="P120" s="30" t="str">
        <f aca="false">IF('Dados completos'!R80="","n/d",IF('Dados completos'!R80='Dados completos'!S80,TEXT('Dados completos'!R80,"#,##0"),TEXT('Dados completos'!R80,"#,##0")&amp;", "&amp;TEXT('Dados completos'!S80,"#,##0")))</f>
        <v>1,500, 2,500</v>
      </c>
      <c r="Q120" s="30" t="str">
        <f aca="false">'Dados completos'!M80</f>
        <v>Alemão e inglês (ver oferta)</v>
      </c>
      <c r="R120" s="30" t="str">
        <f aca="false">'Dados completos'!AJ80</f>
        <v>Língua-chave DE (exigência 0.5); experiência prévia em finanças valorizada, CV tem pouca; exige mestrado em curso ou convenção de estágio, risco.</v>
      </c>
      <c r="S120" s="30" t="str">
        <f aca="false">'Dados completos'!AK80</f>
        <v>Por confirmar</v>
      </c>
      <c r="T120" s="24" t="str">
        <f aca="false">'Dados completos'!AP80</f>
        <v>Parcial (agregador/título)</v>
      </c>
      <c r="U120" s="30" t="str">
        <f aca="false">'Dados completos'!AO80</f>
        <v>Direto (site/ATS da empresa)</v>
      </c>
      <c r="V120" s="32" t="str">
        <f aca="false">HYPERLINK('Dados completos'!AN80,"Abrir")</f>
        <v>Abrir</v>
      </c>
    </row>
    <row r="121" customFormat="false" ht="45.75" hidden="false" customHeight="true" outlineLevel="0" collapsed="false">
      <c r="A121" s="24" t="n">
        <f aca="false">'Dados completos'!A31</f>
        <v>28</v>
      </c>
      <c r="B121" s="25" t="str">
        <f aca="false">'Dados completos'!AL31</f>
        <v>Candidatar (reach)</v>
      </c>
      <c r="C121" s="24" t="n">
        <f aca="false">'Dados completos'!Y31</f>
        <v>3.4</v>
      </c>
      <c r="D121" s="26" t="n">
        <f aca="false">'Dados completos'!AF31</f>
        <v>47.6</v>
      </c>
      <c r="E121" s="27" t="n">
        <f aca="false">'Dados completos'!AH31</f>
        <v>0.009712</v>
      </c>
      <c r="F121" s="28" t="str">
        <f aca="false">'Dados completos'!AI31</f>
        <v>Baixa</v>
      </c>
      <c r="G121" s="29" t="str">
        <f aca="false">'Dados completos'!B31</f>
        <v>KKR</v>
      </c>
      <c r="H121" s="30" t="str">
        <f aca="false">'Dados completos'!C31</f>
        <v>2027 Off-Cycle Intern, Private Equity (Paris)</v>
      </c>
      <c r="I121" s="30" t="str">
        <f aca="false">'Dados completos'!E31</f>
        <v>VC / private equity</v>
      </c>
      <c r="J121" s="24" t="str">
        <f aca="false">'Dados completos'!F31</f>
        <v>França</v>
      </c>
      <c r="K121" s="30" t="str">
        <f aca="false">'Dados completos'!G31</f>
        <v>Paris</v>
      </c>
      <c r="L121" s="30" t="str">
        <f aca="false">'Dados completos'!H31</f>
        <v>Não indicado (provável presencial)</v>
      </c>
      <c r="M121" s="30" t="str">
        <f aca="false">'Dados completos'!I31</f>
        <v>2027 (mês por confirmar)</v>
      </c>
      <c r="N121" s="31" t="str">
        <f aca="false">'Dados completos'!O31</f>
        <v>Não indicado</v>
      </c>
      <c r="O121" s="28" t="str">
        <f aca="false">'Dados completos'!V31</f>
        <v>Muito alta</v>
      </c>
      <c r="P121" s="30" t="str">
        <f aca="false">IF('Dados completos'!R31="","n/d",IF('Dados completos'!R31='Dados completos'!S31,TEXT('Dados completos'!R31,"#,##0"),TEXT('Dados completos'!R31,"#,##0")&amp;", "&amp;TEXT('Dados completos'!S31,"#,##0")))</f>
        <v>1,800, 2,800</v>
      </c>
      <c r="Q121" s="30" t="str">
        <f aca="false">'Dados completos'!M31</f>
        <v>Inglês; francês provável</v>
      </c>
      <c r="R121" s="30" t="str">
        <f aca="false">'Dados completos'!AJ31</f>
        <v>Língua-chave FR (exigência 0.4); pede experiência prévia em IB/PE/consultoria, o CV mostrado não tem; exige mestrado em curso ou convenção de estágio, risco.</v>
      </c>
      <c r="S121" s="30" t="str">
        <f aca="false">'Dados completos'!AK31</f>
        <v>Por confirmar</v>
      </c>
      <c r="T121" s="24" t="str">
        <f aca="false">'Dados completos'!AP31</f>
        <v>Parcial (agregador/título)</v>
      </c>
      <c r="U121" s="30" t="str">
        <f aca="false">'Dados completos'!AO31</f>
        <v>Página de carreiras (procurar a vaga)</v>
      </c>
      <c r="V121" s="32" t="str">
        <f aca="false">HYPERLINK('Dados completos'!AN31,"Abrir")</f>
        <v>Abrir</v>
      </c>
    </row>
    <row r="122" customFormat="false" ht="45.75" hidden="false" customHeight="true" outlineLevel="0" collapsed="false">
      <c r="A122" s="24" t="n">
        <f aca="false">'Dados completos'!A32</f>
        <v>29</v>
      </c>
      <c r="B122" s="25" t="str">
        <f aca="false">'Dados completos'!AL32</f>
        <v>Candidatar (reach)</v>
      </c>
      <c r="C122" s="24" t="n">
        <f aca="false">'Dados completos'!Y32</f>
        <v>3.4</v>
      </c>
      <c r="D122" s="26" t="n">
        <f aca="false">'Dados completos'!AF32</f>
        <v>47.6</v>
      </c>
      <c r="E122" s="27" t="n">
        <f aca="false">'Dados completos'!AH32</f>
        <v>0.009712</v>
      </c>
      <c r="F122" s="28" t="str">
        <f aca="false">'Dados completos'!AI32</f>
        <v>Baixa</v>
      </c>
      <c r="G122" s="29" t="str">
        <f aca="false">'Dados completos'!B32</f>
        <v>KKR</v>
      </c>
      <c r="H122" s="30" t="str">
        <f aca="false">'Dados completos'!C32</f>
        <v>2027 Off-Cycle Intern, Private Equity (Frankfurt)</v>
      </c>
      <c r="I122" s="30" t="str">
        <f aca="false">'Dados completos'!E32</f>
        <v>VC / private equity</v>
      </c>
      <c r="J122" s="24" t="str">
        <f aca="false">'Dados completos'!F32</f>
        <v>Alemanha</v>
      </c>
      <c r="K122" s="30" t="str">
        <f aca="false">'Dados completos'!G32</f>
        <v>Frankfurt</v>
      </c>
      <c r="L122" s="30" t="str">
        <f aca="false">'Dados completos'!H32</f>
        <v>Não indicado (provável presencial)</v>
      </c>
      <c r="M122" s="30" t="str">
        <f aca="false">'Dados completos'!I32</f>
        <v>2027 (mês por confirmar)</v>
      </c>
      <c r="N122" s="31" t="str">
        <f aca="false">'Dados completos'!O32</f>
        <v>Não indicado</v>
      </c>
      <c r="O122" s="28" t="str">
        <f aca="false">'Dados completos'!V32</f>
        <v>Muito alta</v>
      </c>
      <c r="P122" s="30" t="str">
        <f aca="false">IF('Dados completos'!R32="","n/d",IF('Dados completos'!R32='Dados completos'!S32,TEXT('Dados completos'!R32,"#,##0"),TEXT('Dados completos'!R32,"#,##0")&amp;", "&amp;TEXT('Dados completos'!S32,"#,##0")))</f>
        <v>1,800, 2,800</v>
      </c>
      <c r="Q122" s="30" t="str">
        <f aca="false">'Dados completos'!M32</f>
        <v>Inglês; alemão provável</v>
      </c>
      <c r="R122" s="30" t="str">
        <f aca="false">'Dados completos'!AJ32</f>
        <v>Língua-chave DE (exigência 0.4); pede experiência prévia em IB/PE/consultoria, o CV mostrado não tem; exige mestrado em curso ou convenção de estágio, risco.</v>
      </c>
      <c r="S122" s="30" t="str">
        <f aca="false">'Dados completos'!AK32</f>
        <v>Por confirmar</v>
      </c>
      <c r="T122" s="24" t="str">
        <f aca="false">'Dados completos'!AP32</f>
        <v>Parcial (agregador/título)</v>
      </c>
      <c r="U122" s="30" t="str">
        <f aca="false">'Dados completos'!AO32</f>
        <v>Página de carreiras (procurar a vaga)</v>
      </c>
      <c r="V122" s="32" t="str">
        <f aca="false">HYPERLINK('Dados completos'!AN32,"Abrir")</f>
        <v>Abrir</v>
      </c>
    </row>
    <row r="123" customFormat="false" ht="45.75" hidden="false" customHeight="true" outlineLevel="0" collapsed="false">
      <c r="A123" s="24" t="n">
        <f aca="false">'Dados completos'!A79</f>
        <v>76</v>
      </c>
      <c r="B123" s="25" t="str">
        <f aca="false">'Dados completos'!AL79</f>
        <v>Candidatar (reach)</v>
      </c>
      <c r="C123" s="24" t="n">
        <f aca="false">'Dados completos'!Y79</f>
        <v>3.3</v>
      </c>
      <c r="D123" s="26" t="n">
        <f aca="false">'Dados completos'!AF79</f>
        <v>53.45</v>
      </c>
      <c r="E123" s="27" t="n">
        <f aca="false">'Dados completos'!AH79</f>
        <v>0.010414</v>
      </c>
      <c r="F123" s="28" t="str">
        <f aca="false">'Dados completos'!AI79</f>
        <v>Baixa</v>
      </c>
      <c r="G123" s="29" t="str">
        <f aca="false">'Dados completos'!B79</f>
        <v>Partners Group</v>
      </c>
      <c r="H123" s="30" t="str">
        <f aca="false">'Dados completos'!C79</f>
        <v>6-month Internship, Private Equity Directs, Services</v>
      </c>
      <c r="I123" s="30" t="str">
        <f aca="false">'Dados completos'!E79</f>
        <v>VC / private equity</v>
      </c>
      <c r="J123" s="24" t="str">
        <f aca="false">'Dados completos'!F79</f>
        <v>Suíça</v>
      </c>
      <c r="K123" s="30" t="str">
        <f aca="false">'Dados completos'!G79</f>
        <v>Baar</v>
      </c>
      <c r="L123" s="30" t="str">
        <f aca="false">'Dados completos'!H79</f>
        <v>Não indicado (provável presencial)</v>
      </c>
      <c r="M123" s="30" t="str">
        <f aca="false">'Dados completos'!I79</f>
        <v>Por confirmar (6 meses)</v>
      </c>
      <c r="N123" s="31" t="str">
        <f aca="false">'Dados completos'!O79</f>
        <v>Não indicado</v>
      </c>
      <c r="O123" s="28" t="str">
        <f aca="false">'Dados completos'!V79</f>
        <v>Muito alta</v>
      </c>
      <c r="P123" s="30" t="str">
        <f aca="false">IF('Dados completos'!R79="","n/d",IF('Dados completos'!R79='Dados completos'!S79,TEXT('Dados completos'!R79,"#,##0"),TEXT('Dados completos'!R79,"#,##0")&amp;", "&amp;TEXT('Dados completos'!S79,"#,##0")))</f>
        <v>3,000, 4,500</v>
      </c>
      <c r="Q123" s="30" t="str">
        <f aca="false">'Dados completos'!M79</f>
        <v>Inglês (ver oferta)</v>
      </c>
      <c r="R123" s="30" t="str">
        <f aca="false">'Dados completos'!AJ79</f>
        <v>Língua-chave DE (exigência 0.3); experiência prévia em finanças valorizada, CV tem pouca; exige mestrado em curso ou convenção de estágio, risco.</v>
      </c>
      <c r="S123" s="30" t="str">
        <f aca="false">'Dados completos'!AK79</f>
        <v>Por confirmar</v>
      </c>
      <c r="T123" s="24" t="str">
        <f aca="false">'Dados completos'!AP79</f>
        <v>Parcial (agregador/título)</v>
      </c>
      <c r="U123" s="30" t="str">
        <f aca="false">'Dados completos'!AO79</f>
        <v>Direto (site/ATS da empresa)</v>
      </c>
      <c r="V123" s="32" t="str">
        <f aca="false">HYPERLINK('Dados completos'!AN79,"Abrir")</f>
        <v>Abrir</v>
      </c>
    </row>
    <row r="124" customFormat="false" ht="45.75" hidden="false" customHeight="true" outlineLevel="0" collapsed="false">
      <c r="A124" s="24" t="n">
        <f aca="false">'Dados completos'!A28</f>
        <v>25</v>
      </c>
      <c r="B124" s="25" t="str">
        <f aca="false">'Dados completos'!AL28</f>
        <v>Candidatar (reach)</v>
      </c>
      <c r="C124" s="24" t="n">
        <f aca="false">'Dados completos'!Y28</f>
        <v>3</v>
      </c>
      <c r="D124" s="26" t="n">
        <f aca="false">'Dados completos'!AF28</f>
        <v>63</v>
      </c>
      <c r="E124" s="27" t="n">
        <f aca="false">'Dados completos'!AH28</f>
        <v>0.01156</v>
      </c>
      <c r="F124" s="28" t="str">
        <f aca="false">'Dados completos'!AI28</f>
        <v>Baixa</v>
      </c>
      <c r="G124" s="29" t="str">
        <f aca="false">'Dados completos'!B28</f>
        <v>Jefferies</v>
      </c>
      <c r="H124" s="30" t="str">
        <f aca="false">'Dados completos'!C28</f>
        <v>IB Off-Cycle Internship, Londres (vários grupos)</v>
      </c>
      <c r="I124" s="30" t="str">
        <f aca="false">'Dados completos'!E28</f>
        <v>Banca de investimento / boutique</v>
      </c>
      <c r="J124" s="24" t="str">
        <f aca="false">'Dados completos'!F28</f>
        <v>Reino Unido</v>
      </c>
      <c r="K124" s="30" t="str">
        <f aca="false">'Dados completos'!G28</f>
        <v>Londres</v>
      </c>
      <c r="L124" s="30" t="str">
        <f aca="false">'Dados completos'!H28</f>
        <v>Não indicado (provável presencial)</v>
      </c>
      <c r="M124" s="30" t="str">
        <f aca="false">'Dados completos'!I28</f>
        <v>Fev 2027</v>
      </c>
      <c r="N124" s="31" t="str">
        <f aca="false">'Dados completos'!O28</f>
        <v>Não indicado</v>
      </c>
      <c r="O124" s="28" t="str">
        <f aca="false">'Dados completos'!V28</f>
        <v>Muito alta</v>
      </c>
      <c r="P124" s="30" t="str">
        <f aca="false">IF('Dados completos'!R28="","n/d",IF('Dados completos'!R28='Dados completos'!S28,TEXT('Dados completos'!R28,"#,##0"),TEXT('Dados completos'!R28,"#,##0")&amp;", "&amp;TEXT('Dados completos'!S28,"#,##0")))</f>
        <v>2,800, 4,000</v>
      </c>
      <c r="Q124" s="30" t="str">
        <f aca="false">'Dados completos'!M28</f>
        <v>Inglês</v>
      </c>
      <c r="R124" s="30" t="str">
        <f aca="false">'Dados completos'!AJ28</f>
        <v>Língua-chave EN (exigência 1); experiência prévia em finanças valorizada, CV tem pouca.</v>
      </c>
      <c r="S124" s="30" t="str">
        <f aca="false">'Dados completos'!AK28</f>
        <v>Por confirmar</v>
      </c>
      <c r="T124" s="24" t="str">
        <f aca="false">'Dados completos'!AP28</f>
        <v>Parcial (agregador/título)</v>
      </c>
      <c r="U124" s="30" t="str">
        <f aca="false">'Dados completos'!AO28</f>
        <v>Direto (site/ATS da empresa)</v>
      </c>
      <c r="V124" s="32" t="str">
        <f aca="false">HYPERLINK('Dados completos'!AN28,"Abrir")</f>
        <v>Abrir</v>
      </c>
    </row>
    <row r="125" customFormat="false" ht="45.75" hidden="false" customHeight="true" outlineLevel="0" collapsed="false">
      <c r="A125" s="24" t="n">
        <f aca="false">'Dados completos'!A33</f>
        <v>30</v>
      </c>
      <c r="B125" s="25" t="str">
        <f aca="false">'Dados completos'!AL33</f>
        <v>Candidatar (reach)</v>
      </c>
      <c r="C125" s="24" t="n">
        <f aca="false">'Dados completos'!Y33</f>
        <v>3</v>
      </c>
      <c r="D125" s="26" t="n">
        <f aca="false">'Dados completos'!AF33</f>
        <v>63</v>
      </c>
      <c r="E125" s="27" t="n">
        <f aca="false">'Dados completos'!AH33</f>
        <v>0.01156</v>
      </c>
      <c r="F125" s="28" t="str">
        <f aca="false">'Dados completos'!AI33</f>
        <v>Baixa</v>
      </c>
      <c r="G125" s="29" t="str">
        <f aca="false">'Dados completos'!B33</f>
        <v>J.P. Morgan</v>
      </c>
      <c r="H125" s="30" t="str">
        <f aca="false">'Dados completos'!C33</f>
        <v>Global Investment Banking Analyst Program, Off-Cycle Internship (Estocolmo)</v>
      </c>
      <c r="I125" s="30" t="str">
        <f aca="false">'Dados completos'!E33</f>
        <v>Banca de investimento</v>
      </c>
      <c r="J125" s="24" t="str">
        <f aca="false">'Dados completos'!F33</f>
        <v>Suécia</v>
      </c>
      <c r="K125" s="30" t="str">
        <f aca="false">'Dados completos'!G33</f>
        <v>Estocolmo</v>
      </c>
      <c r="L125" s="30" t="str">
        <f aca="false">'Dados completos'!H33</f>
        <v>Não indicado (provável presencial)</v>
      </c>
      <c r="M125" s="30" t="str">
        <f aca="false">'Dados completos'!I33</f>
        <v>2027 (mês por confirmar)</v>
      </c>
      <c r="N125" s="31" t="n">
        <f aca="false">'Dados completos'!O33</f>
        <v>46333</v>
      </c>
      <c r="O125" s="28" t="str">
        <f aca="false">'Dados completos'!V33</f>
        <v>Muito alta</v>
      </c>
      <c r="P125" s="30" t="str">
        <f aca="false">IF('Dados completos'!R33="","n/d",IF('Dados completos'!R33='Dados completos'!S33,TEXT('Dados completos'!R33,"#,##0"),TEXT('Dados completos'!R33,"#,##0")&amp;", "&amp;TEXT('Dados completos'!S33,"#,##0")))</f>
        <v>2,000, 3,000</v>
      </c>
      <c r="Q125" s="30" t="str">
        <f aca="false">'Dados completos'!M33</f>
        <v>Inglês</v>
      </c>
      <c r="R125" s="30" t="str">
        <f aca="false">'Dados completos'!AJ33</f>
        <v>Língua-chave EN (exigência 1); experiência prévia em finanças valorizada, CV tem pouca.</v>
      </c>
      <c r="S125" s="30" t="str">
        <f aca="false">'Dados completos'!AK33</f>
        <v>Aberta, prazo definido</v>
      </c>
      <c r="T125" s="24" t="str">
        <f aca="false">'Dados completos'!AP33</f>
        <v>Parcial (agregador/título)</v>
      </c>
      <c r="U125" s="30" t="str">
        <f aca="false">'Dados completos'!AO33</f>
        <v>Direto (site/ATS da empresa)</v>
      </c>
      <c r="V125" s="32" t="str">
        <f aca="false">HYPERLINK('Dados completos'!AN33,"Abrir")</f>
        <v>Abrir</v>
      </c>
    </row>
    <row r="126" customFormat="false" ht="45.75" hidden="false" customHeight="true" outlineLevel="0" collapsed="false">
      <c r="A126" s="24" t="n">
        <f aca="false">'Dados completos'!A34</f>
        <v>31</v>
      </c>
      <c r="B126" s="25" t="str">
        <f aca="false">'Dados completos'!AL34</f>
        <v>Candidatar (reach)</v>
      </c>
      <c r="C126" s="24" t="n">
        <f aca="false">'Dados completos'!Y34</f>
        <v>3.4</v>
      </c>
      <c r="D126" s="26" t="n">
        <f aca="false">'Dados completos'!AF34</f>
        <v>42.4</v>
      </c>
      <c r="E126" s="27" t="n">
        <f aca="false">'Dados completos'!AH34</f>
        <v>0.009088</v>
      </c>
      <c r="F126" s="28" t="str">
        <f aca="false">'Dados completos'!AI34</f>
        <v>Baixa</v>
      </c>
      <c r="G126" s="29" t="str">
        <f aca="false">'Dados completos'!B34</f>
        <v>Astorg</v>
      </c>
      <c r="H126" s="30" t="str">
        <f aca="false">'Dados completos'!C34</f>
        <v>Private Equity Intern (Paris)</v>
      </c>
      <c r="I126" s="30" t="str">
        <f aca="false">'Dados completos'!E34</f>
        <v>VC / private equity</v>
      </c>
      <c r="J126" s="24" t="str">
        <f aca="false">'Dados completos'!F34</f>
        <v>França</v>
      </c>
      <c r="K126" s="30" t="str">
        <f aca="false">'Dados completos'!G34</f>
        <v>Paris</v>
      </c>
      <c r="L126" s="30" t="str">
        <f aca="false">'Dados completos'!H34</f>
        <v>Não indicado (provável presencial)</v>
      </c>
      <c r="M126" s="30" t="str">
        <f aca="false">'Dados completos'!I34</f>
        <v>Mar 2027 (não é janeiro)</v>
      </c>
      <c r="N126" s="31" t="str">
        <f aca="false">'Dados completos'!O34</f>
        <v>Não indicado</v>
      </c>
      <c r="O126" s="28" t="str">
        <f aca="false">'Dados completos'!V34</f>
        <v>Muito alta</v>
      </c>
      <c r="P126" s="30" t="str">
        <f aca="false">IF('Dados completos'!R34="","n/d",IF('Dados completos'!R34='Dados completos'!S34,TEXT('Dados completos'!R34,"#,##0"),TEXT('Dados completos'!R34,"#,##0")&amp;", "&amp;TEXT('Dados completos'!S34,"#,##0")))</f>
        <v>1,500, 2,500</v>
      </c>
      <c r="Q126" s="30" t="str">
        <f aca="false">'Dados completos'!M34</f>
        <v>Francês provável</v>
      </c>
      <c r="R126" s="30" t="str">
        <f aca="false">'Dados completos'!AJ34</f>
        <v>Língua-chave FR (exigência 0.6); experiência prévia em finanças valorizada, CV tem pouca; exige mestrado em curso ou convenção de estágio, risco.</v>
      </c>
      <c r="S126" s="30" t="str">
        <f aca="false">'Dados completos'!AK34</f>
        <v>Por confirmar</v>
      </c>
      <c r="T126" s="24" t="str">
        <f aca="false">'Dados completos'!AP34</f>
        <v>Parcial (agregador/título)</v>
      </c>
      <c r="U126" s="30" t="str">
        <f aca="false">'Dados completos'!AO34</f>
        <v>Direto (site/ATS da empresa)</v>
      </c>
      <c r="V126" s="32" t="str">
        <f aca="false">HYPERLINK('Dados completos'!AN34,"Abrir")</f>
        <v>Abrir</v>
      </c>
    </row>
    <row r="127" customFormat="false" ht="45.75" hidden="false" customHeight="true" outlineLevel="0" collapsed="false">
      <c r="A127" s="24" t="n">
        <f aca="false">'Dados completos'!A35</f>
        <v>32</v>
      </c>
      <c r="B127" s="25" t="str">
        <f aca="false">'Dados completos'!AL35</f>
        <v>Candidatar (reach)</v>
      </c>
      <c r="C127" s="24" t="n">
        <f aca="false">'Dados completos'!Y35</f>
        <v>3.4</v>
      </c>
      <c r="D127" s="26" t="n">
        <f aca="false">'Dados completos'!AF35</f>
        <v>42.4</v>
      </c>
      <c r="E127" s="27" t="n">
        <f aca="false">'Dados completos'!AH35</f>
        <v>0.009088</v>
      </c>
      <c r="F127" s="28" t="str">
        <f aca="false">'Dados completos'!AI35</f>
        <v>Baixa</v>
      </c>
      <c r="G127" s="29" t="str">
        <f aca="false">'Dados completos'!B35</f>
        <v>Sagard</v>
      </c>
      <c r="H127" s="30" t="str">
        <f aca="false">'Dados completos'!C35</f>
        <v>Private Equity Intern (Paris)</v>
      </c>
      <c r="I127" s="30" t="str">
        <f aca="false">'Dados completos'!E35</f>
        <v>VC / private equity</v>
      </c>
      <c r="J127" s="24" t="str">
        <f aca="false">'Dados completos'!F35</f>
        <v>França</v>
      </c>
      <c r="K127" s="30" t="str">
        <f aca="false">'Dados completos'!G35</f>
        <v>Paris</v>
      </c>
      <c r="L127" s="30" t="str">
        <f aca="false">'Dados completos'!H35</f>
        <v>Não indicado (provável presencial)</v>
      </c>
      <c r="M127" s="30" t="str">
        <f aca="false">'Dados completos'!I35</f>
        <v>Q1 2027</v>
      </c>
      <c r="N127" s="31" t="str">
        <f aca="false">'Dados completos'!O35</f>
        <v>Não indicado</v>
      </c>
      <c r="O127" s="28" t="str">
        <f aca="false">'Dados completos'!V35</f>
        <v>Muito alta</v>
      </c>
      <c r="P127" s="30" t="str">
        <f aca="false">IF('Dados completos'!R35="","n/d",IF('Dados completos'!R35='Dados completos'!S35,TEXT('Dados completos'!R35,"#,##0"),TEXT('Dados completos'!R35,"#,##0")&amp;", "&amp;TEXT('Dados completos'!S35,"#,##0")))</f>
        <v>1,500, 2,500</v>
      </c>
      <c r="Q127" s="30" t="str">
        <f aca="false">'Dados completos'!M35</f>
        <v>Francês provável</v>
      </c>
      <c r="R127" s="30" t="str">
        <f aca="false">'Dados completos'!AJ35</f>
        <v>Língua-chave FR (exigência 0.6); experiência prévia em finanças valorizada, CV tem pouca; exige mestrado em curso ou convenção de estágio, risco.</v>
      </c>
      <c r="S127" s="30" t="str">
        <f aca="false">'Dados completos'!AK35</f>
        <v>Por confirmar</v>
      </c>
      <c r="T127" s="24" t="str">
        <f aca="false">'Dados completos'!AP35</f>
        <v>Parcial (agregador/título)</v>
      </c>
      <c r="U127" s="30" t="str">
        <f aca="false">'Dados completos'!AO35</f>
        <v>Direto (site/ATS da empresa)</v>
      </c>
      <c r="V127" s="32" t="str">
        <f aca="false">HYPERLINK('Dados completos'!AN35,"Abrir")</f>
        <v>Abrir</v>
      </c>
    </row>
    <row r="128" customFormat="false" ht="45.75" hidden="false" customHeight="true" outlineLevel="0" collapsed="false">
      <c r="A128" s="24" t="n">
        <f aca="false">'Dados completos'!A152</f>
        <v>149</v>
      </c>
      <c r="B128" s="25" t="str">
        <f aca="false">'Dados completos'!AL152</f>
        <v>Candidatar (reach)</v>
      </c>
      <c r="C128" s="24" t="n">
        <f aca="false">'Dados completos'!Y152</f>
        <v>3</v>
      </c>
      <c r="D128" s="26" t="n">
        <f aca="false">'Dados completos'!AF152</f>
        <v>61.1</v>
      </c>
      <c r="E128" s="27" t="n">
        <f aca="false">'Dados completos'!AH152</f>
        <v>0.011332</v>
      </c>
      <c r="F128" s="28" t="str">
        <f aca="false">'Dados completos'!AI152</f>
        <v>Baixa</v>
      </c>
      <c r="G128" s="29" t="str">
        <f aca="false">'Dados completos'!B152</f>
        <v>Citi</v>
      </c>
      <c r="H128" s="30" t="str">
        <f aca="false">'Dados completos'!C152</f>
        <v>Banking, Investment Banking Placement Analyst 2027, January Intake (Zurique)</v>
      </c>
      <c r="I128" s="30" t="str">
        <f aca="false">'Dados completos'!E152</f>
        <v>Banca de investimento</v>
      </c>
      <c r="J128" s="24" t="str">
        <f aca="false">'Dados completos'!F152</f>
        <v>Suíça</v>
      </c>
      <c r="K128" s="30" t="str">
        <f aca="false">'Dados completos'!G152</f>
        <v>Zurique</v>
      </c>
      <c r="L128" s="30" t="str">
        <f aca="false">'Dados completos'!H152</f>
        <v>Não indicado (provável presencial)</v>
      </c>
      <c r="M128" s="30" t="str">
        <f aca="false">'Dados completos'!I152</f>
        <v>Jan 2027</v>
      </c>
      <c r="N128" s="31" t="n">
        <f aca="false">'Dados completos'!O152</f>
        <v>46332</v>
      </c>
      <c r="O128" s="28" t="str">
        <f aca="false">'Dados completos'!V152</f>
        <v>Muito alta</v>
      </c>
      <c r="P128" s="30" t="str">
        <f aca="false">IF('Dados completos'!R152="","n/d",IF('Dados completos'!R152='Dados completos'!S152,TEXT('Dados completos'!R152,"#,##0"),TEXT('Dados completos'!R152,"#,##0")&amp;", "&amp;TEXT('Dados completos'!S152,"#,##0")))</f>
        <v>3,000, 4,500</v>
      </c>
      <c r="Q128" s="30" t="str">
        <f aca="false">'Dados completos'!M152</f>
        <v>Inglês (ver oferta)</v>
      </c>
      <c r="R128" s="30" t="str">
        <f aca="false">'Dados completos'!AJ152</f>
        <v>Língua-chave EN (exigência 0.6); experiência prévia em finanças valorizada, CV tem pouca; exige mestrado em curso ou convenção de estágio, risco.</v>
      </c>
      <c r="S128" s="30" t="str">
        <f aca="false">'Dados completos'!AK152</f>
        <v>Aberta, prazo definido</v>
      </c>
      <c r="T128" s="24" t="str">
        <f aca="false">'Dados completos'!AP152</f>
        <v>Parcial (agregador/título)</v>
      </c>
      <c r="U128" s="30" t="str">
        <f aca="false">'Dados completos'!AO152</f>
        <v>Direto (site/ATS da empresa)</v>
      </c>
      <c r="V128" s="32" t="str">
        <f aca="false">HYPERLINK('Dados completos'!AN152,"Abrir")</f>
        <v>Abrir</v>
      </c>
    </row>
    <row r="129" customFormat="false" ht="45.75" hidden="false" customHeight="true" outlineLevel="0" collapsed="false">
      <c r="A129" s="24" t="n">
        <f aca="false">'Dados completos'!A126</f>
        <v>123</v>
      </c>
      <c r="B129" s="25" t="str">
        <f aca="false">'Dados completos'!AL126</f>
        <v>Candidatar (reach)</v>
      </c>
      <c r="C129" s="24" t="n">
        <f aca="false">'Dados completos'!Y126</f>
        <v>3</v>
      </c>
      <c r="D129" s="26" t="n">
        <f aca="false">'Dados completos'!AF126</f>
        <v>60.95</v>
      </c>
      <c r="E129" s="27" t="n">
        <f aca="false">'Dados completos'!AH126</f>
        <v>0.011314</v>
      </c>
      <c r="F129" s="28" t="str">
        <f aca="false">'Dados completos'!AI126</f>
        <v>Baixa</v>
      </c>
      <c r="G129" s="29" t="str">
        <f aca="false">'Dados completos'!B126</f>
        <v>Houlihan Lokey</v>
      </c>
      <c r="H129" s="30" t="str">
        <f aca="false">'Dados completos'!C126</f>
        <v>6-Month Off-Cycle Internship, Corporate Finance (Estocolmo)</v>
      </c>
      <c r="I129" s="30" t="str">
        <f aca="false">'Dados completos'!E126</f>
        <v>Banca de investimento / boutique</v>
      </c>
      <c r="J129" s="24" t="str">
        <f aca="false">'Dados completos'!F126</f>
        <v>Suécia</v>
      </c>
      <c r="K129" s="30" t="str">
        <f aca="false">'Dados completos'!G126</f>
        <v>Estocolmo</v>
      </c>
      <c r="L129" s="30" t="str">
        <f aca="false">'Dados completos'!H126</f>
        <v>Não indicado (provável presencial)</v>
      </c>
      <c r="M129" s="30" t="str">
        <f aca="false">'Dados completos'!I126</f>
        <v>Por confirmar</v>
      </c>
      <c r="N129" s="31" t="str">
        <f aca="false">'Dados completos'!O126</f>
        <v>Não indicado</v>
      </c>
      <c r="O129" s="28" t="str">
        <f aca="false">'Dados completos'!V126</f>
        <v>Muito alta</v>
      </c>
      <c r="P129" s="30" t="str">
        <f aca="false">IF('Dados completos'!R126="","n/d",IF('Dados completos'!R126='Dados completos'!S126,TEXT('Dados completos'!R126,"#,##0"),TEXT('Dados completos'!R126,"#,##0")&amp;", "&amp;TEXT('Dados completos'!S126,"#,##0")))</f>
        <v>2,000, 3,000</v>
      </c>
      <c r="Q129" s="30" t="str">
        <f aca="false">'Dados completos'!M126</f>
        <v>Inglês (ver oferta)</v>
      </c>
      <c r="R129" s="30" t="str">
        <f aca="false">'Dados completos'!AJ126</f>
        <v>Língua-chave EN (exigência 0.7); experiência prévia em finanças valorizada, CV tem pouca; exige mestrado em curso ou convenção de estágio, risco.</v>
      </c>
      <c r="S129" s="30" t="str">
        <f aca="false">'Dados completos'!AK126</f>
        <v>Por confirmar</v>
      </c>
      <c r="T129" s="24" t="str">
        <f aca="false">'Dados completos'!AP126</f>
        <v>Parcial (agregador/título)</v>
      </c>
      <c r="U129" s="30" t="str">
        <f aca="false">'Dados completos'!AO126</f>
        <v>Direto (site/ATS da empresa)</v>
      </c>
      <c r="V129" s="32" t="str">
        <f aca="false">HYPERLINK('Dados completos'!AN126,"Abrir")</f>
        <v>Abrir</v>
      </c>
    </row>
    <row r="130" customFormat="false" ht="45.75" hidden="false" customHeight="true" outlineLevel="0" collapsed="false">
      <c r="A130" s="24" t="n">
        <f aca="false">'Dados completos'!A53</f>
        <v>50</v>
      </c>
      <c r="B130" s="25" t="str">
        <f aca="false">'Dados completos'!AL53</f>
        <v>Candidatar (reach)</v>
      </c>
      <c r="C130" s="24" t="n">
        <f aca="false">'Dados completos'!Y53</f>
        <v>3</v>
      </c>
      <c r="D130" s="26" t="n">
        <f aca="false">'Dados completos'!AF53</f>
        <v>60.5</v>
      </c>
      <c r="E130" s="27" t="n">
        <f aca="false">'Dados completos'!AH53</f>
        <v>0.01126</v>
      </c>
      <c r="F130" s="28" t="str">
        <f aca="false">'Dados completos'!AI53</f>
        <v>Baixa</v>
      </c>
      <c r="G130" s="29" t="str">
        <f aca="false">'Dados completos'!B53</f>
        <v>Ardian</v>
      </c>
      <c r="H130" s="30" t="str">
        <f aca="false">'Dados completos'!C53</f>
        <v>Infrastructure Intern, January 2027 (Londres)</v>
      </c>
      <c r="I130" s="30" t="str">
        <f aca="false">'Dados completos'!E53</f>
        <v>VC / private equity</v>
      </c>
      <c r="J130" s="24" t="str">
        <f aca="false">'Dados completos'!F53</f>
        <v>Reino Unido</v>
      </c>
      <c r="K130" s="30" t="str">
        <f aca="false">'Dados completos'!G53</f>
        <v>Londres</v>
      </c>
      <c r="L130" s="30" t="str">
        <f aca="false">'Dados completos'!H53</f>
        <v>Não indicado (provável presencial)</v>
      </c>
      <c r="M130" s="30" t="str">
        <f aca="false">'Dados completos'!I53</f>
        <v>Jan 2027</v>
      </c>
      <c r="N130" s="31" t="str">
        <f aca="false">'Dados completos'!O53</f>
        <v>Não indicado</v>
      </c>
      <c r="O130" s="28" t="str">
        <f aca="false">'Dados completos'!V53</f>
        <v>Muito alta</v>
      </c>
      <c r="P130" s="30" t="str">
        <f aca="false">IF('Dados completos'!R53="","n/d",IF('Dados completos'!R53='Dados completos'!S53,TEXT('Dados completos'!R53,"#,##0"),TEXT('Dados completos'!R53,"#,##0")&amp;", "&amp;TEXT('Dados completos'!S53,"#,##0")))</f>
        <v>2,800, 4,000</v>
      </c>
      <c r="Q130" s="30" t="str">
        <f aca="false">'Dados completos'!M53</f>
        <v>Inglês (ver oferta)</v>
      </c>
      <c r="R130" s="30" t="str">
        <f aca="false">'Dados completos'!AJ53</f>
        <v>Língua-chave EN (exigência 1); experiência prévia em finanças valorizada, CV tem pouca; exige mestrado em curso ou convenção de estágio, risco.</v>
      </c>
      <c r="S130" s="30" t="str">
        <f aca="false">'Dados completos'!AK53</f>
        <v>Por confirmar</v>
      </c>
      <c r="T130" s="24" t="str">
        <f aca="false">'Dados completos'!AP53</f>
        <v>Parcial (agregador/título)</v>
      </c>
      <c r="U130" s="30" t="str">
        <f aca="false">'Dados completos'!AO53</f>
        <v>Direto (site/ATS da empresa)</v>
      </c>
      <c r="V130" s="32" t="str">
        <f aca="false">HYPERLINK('Dados completos'!AN53,"Abrir")</f>
        <v>Abrir</v>
      </c>
    </row>
    <row r="131" customFormat="false" ht="45.75" hidden="false" customHeight="true" outlineLevel="0" collapsed="false">
      <c r="A131" s="24" t="n">
        <f aca="false">'Dados completos'!A59</f>
        <v>56</v>
      </c>
      <c r="B131" s="25" t="str">
        <f aca="false">'Dados completos'!AL59</f>
        <v>Candidatar (reach)</v>
      </c>
      <c r="C131" s="24" t="n">
        <f aca="false">'Dados completos'!Y59</f>
        <v>3</v>
      </c>
      <c r="D131" s="26" t="n">
        <f aca="false">'Dados completos'!AF59</f>
        <v>60.5</v>
      </c>
      <c r="E131" s="27" t="n">
        <f aca="false">'Dados completos'!AH59</f>
        <v>0.01126</v>
      </c>
      <c r="F131" s="28" t="str">
        <f aca="false">'Dados completos'!AI59</f>
        <v>Baixa</v>
      </c>
      <c r="G131" s="29" t="str">
        <f aca="false">'Dados completos'!B59</f>
        <v>Lazard</v>
      </c>
      <c r="H131" s="30" t="str">
        <f aca="false">'Dados completos'!C59</f>
        <v>Financial Advisory Off-Cycle Internship 2027</v>
      </c>
      <c r="I131" s="30" t="str">
        <f aca="false">'Dados completos'!E59</f>
        <v>Banca de investimento / boutique</v>
      </c>
      <c r="J131" s="24" t="str">
        <f aca="false">'Dados completos'!F59</f>
        <v>Reino Unido</v>
      </c>
      <c r="K131" s="30" t="str">
        <f aca="false">'Dados completos'!G59</f>
        <v>Londres</v>
      </c>
      <c r="L131" s="30" t="str">
        <f aca="false">'Dados completos'!H59</f>
        <v>Não indicado (provável presencial)</v>
      </c>
      <c r="M131" s="30" t="str">
        <f aca="false">'Dados completos'!I59</f>
        <v>2027 (mês por confirmar)</v>
      </c>
      <c r="N131" s="31" t="str">
        <f aca="false">'Dados completos'!O59</f>
        <v>Não indicado</v>
      </c>
      <c r="O131" s="28" t="str">
        <f aca="false">'Dados completos'!V59</f>
        <v>Muito alta</v>
      </c>
      <c r="P131" s="30" t="str">
        <f aca="false">IF('Dados completos'!R59="","n/d",IF('Dados completos'!R59='Dados completos'!S59,TEXT('Dados completos'!R59,"#,##0"),TEXT('Dados completos'!R59,"#,##0")&amp;", "&amp;TEXT('Dados completos'!S59,"#,##0")))</f>
        <v>2,800, 4,000</v>
      </c>
      <c r="Q131" s="30" t="str">
        <f aca="false">'Dados completos'!M59</f>
        <v>Inglês (ver oferta)</v>
      </c>
      <c r="R131" s="30" t="str">
        <f aca="false">'Dados completos'!AJ59</f>
        <v>Língua-chave EN (exigência 1); experiência prévia em finanças valorizada, CV tem pouca; exige mestrado em curso ou convenção de estágio, risco.</v>
      </c>
      <c r="S131" s="30" t="str">
        <f aca="false">'Dados completos'!AK59</f>
        <v>Por confirmar</v>
      </c>
      <c r="T131" s="24" t="str">
        <f aca="false">'Dados completos'!AP59</f>
        <v>Parcial (agregador/título)</v>
      </c>
      <c r="U131" s="30" t="str">
        <f aca="false">'Dados completos'!AO59</f>
        <v>Anúncio em plataforma</v>
      </c>
      <c r="V131" s="32" t="str">
        <f aca="false">HYPERLINK('Dados completos'!AN59,"Abrir")</f>
        <v>Abrir</v>
      </c>
    </row>
    <row r="132" customFormat="false" ht="45.75" hidden="false" customHeight="true" outlineLevel="0" collapsed="false">
      <c r="A132" s="24" t="n">
        <f aca="false">'Dados completos'!A66</f>
        <v>63</v>
      </c>
      <c r="B132" s="25" t="str">
        <f aca="false">'Dados completos'!AL66</f>
        <v>Candidatar (reach)</v>
      </c>
      <c r="C132" s="24" t="n">
        <f aca="false">'Dados completos'!Y66</f>
        <v>3</v>
      </c>
      <c r="D132" s="26" t="n">
        <f aca="false">'Dados completos'!AF66</f>
        <v>60.5</v>
      </c>
      <c r="E132" s="27" t="n">
        <f aca="false">'Dados completos'!AH66</f>
        <v>0.01126</v>
      </c>
      <c r="F132" s="28" t="str">
        <f aca="false">'Dados completos'!AI66</f>
        <v>Baixa</v>
      </c>
      <c r="G132" s="29" t="str">
        <f aca="false">'Dados completos'!B66</f>
        <v>Rothschild &amp; Co</v>
      </c>
      <c r="H132" s="30" t="str">
        <f aca="false">'Dados completos'!C66</f>
        <v>2027 UK Global Advisory Off-Cycle Internship</v>
      </c>
      <c r="I132" s="30" t="str">
        <f aca="false">'Dados completos'!E66</f>
        <v>Banca de investimento / boutique</v>
      </c>
      <c r="J132" s="24" t="str">
        <f aca="false">'Dados completos'!F66</f>
        <v>Reino Unido</v>
      </c>
      <c r="K132" s="30" t="str">
        <f aca="false">'Dados completos'!G66</f>
        <v>Londres</v>
      </c>
      <c r="L132" s="30" t="str">
        <f aca="false">'Dados completos'!H66</f>
        <v>Não indicado (provável presencial)</v>
      </c>
      <c r="M132" s="30" t="str">
        <f aca="false">'Dados completos'!I66</f>
        <v>2027 (mês por confirmar)</v>
      </c>
      <c r="N132" s="31" t="str">
        <f aca="false">'Dados completos'!O66</f>
        <v>Não indicado</v>
      </c>
      <c r="O132" s="28" t="str">
        <f aca="false">'Dados completos'!V66</f>
        <v>Muito alta</v>
      </c>
      <c r="P132" s="30" t="str">
        <f aca="false">IF('Dados completos'!R66="","n/d",IF('Dados completos'!R66='Dados completos'!S66,TEXT('Dados completos'!R66,"#,##0"),TEXT('Dados completos'!R66,"#,##0")&amp;", "&amp;TEXT('Dados completos'!S66,"#,##0")))</f>
        <v>2,800, 4,000</v>
      </c>
      <c r="Q132" s="30" t="str">
        <f aca="false">'Dados completos'!M66</f>
        <v>Inglês (ver oferta)</v>
      </c>
      <c r="R132" s="30" t="str">
        <f aca="false">'Dados completos'!AJ66</f>
        <v>Língua-chave EN (exigência 1); experiência prévia em finanças valorizada, CV tem pouca; exige mestrado em curso ou convenção de estágio, risco.</v>
      </c>
      <c r="S132" s="30" t="str">
        <f aca="false">'Dados completos'!AK66</f>
        <v>Por confirmar</v>
      </c>
      <c r="T132" s="24" t="str">
        <f aca="false">'Dados completos'!AP66</f>
        <v>Parcial (agregador/título)</v>
      </c>
      <c r="U132" s="30" t="str">
        <f aca="false">'Dados completos'!AO66</f>
        <v>Direto (site/ATS da empresa)</v>
      </c>
      <c r="V132" s="32" t="str">
        <f aca="false">HYPERLINK('Dados completos'!AN66,"Abrir")</f>
        <v>Abrir</v>
      </c>
    </row>
    <row r="133" customFormat="false" ht="45.75" hidden="false" customHeight="true" outlineLevel="0" collapsed="false">
      <c r="A133" s="24" t="n">
        <f aca="false">'Dados completos'!A105</f>
        <v>102</v>
      </c>
      <c r="B133" s="25" t="str">
        <f aca="false">'Dados completos'!AL105</f>
        <v>Candidatar (reach)</v>
      </c>
      <c r="C133" s="24" t="n">
        <f aca="false">'Dados completos'!Y105</f>
        <v>3</v>
      </c>
      <c r="D133" s="26" t="n">
        <f aca="false">'Dados completos'!AF105</f>
        <v>60.5</v>
      </c>
      <c r="E133" s="27" t="n">
        <f aca="false">'Dados completos'!AH105</f>
        <v>0.01126</v>
      </c>
      <c r="F133" s="28" t="str">
        <f aca="false">'Dados completos'!AI105</f>
        <v>Baixa</v>
      </c>
      <c r="G133" s="29" t="str">
        <f aca="false">'Dados completos'!B105</f>
        <v>Evercore</v>
      </c>
      <c r="H133" s="30" t="str">
        <f aca="false">'Dados completos'!C105</f>
        <v>Off-Cycle Analyst Internship, Advisory (Londres)</v>
      </c>
      <c r="I133" s="30" t="str">
        <f aca="false">'Dados completos'!E105</f>
        <v>Banca de investimento / boutique</v>
      </c>
      <c r="J133" s="24" t="str">
        <f aca="false">'Dados completos'!F105</f>
        <v>Reino Unido</v>
      </c>
      <c r="K133" s="30" t="str">
        <f aca="false">'Dados completos'!G105</f>
        <v>Londres</v>
      </c>
      <c r="L133" s="30" t="str">
        <f aca="false">'Dados completos'!H105</f>
        <v>Não indicado (provável presencial)</v>
      </c>
      <c r="M133" s="30" t="str">
        <f aca="false">'Dados completos'!I105</f>
        <v>Por confirmar</v>
      </c>
      <c r="N133" s="31" t="str">
        <f aca="false">'Dados completos'!O105</f>
        <v>Não indicado</v>
      </c>
      <c r="O133" s="28" t="str">
        <f aca="false">'Dados completos'!V105</f>
        <v>Muito alta</v>
      </c>
      <c r="P133" s="30" t="str">
        <f aca="false">IF('Dados completos'!R105="","n/d",IF('Dados completos'!R105='Dados completos'!S105,TEXT('Dados completos'!R105,"#,##0"),TEXT('Dados completos'!R105,"#,##0")&amp;", "&amp;TEXT('Dados completos'!S105,"#,##0")))</f>
        <v>2,800, 4,000</v>
      </c>
      <c r="Q133" s="30" t="str">
        <f aca="false">'Dados completos'!M105</f>
        <v>Inglês (ver oferta)</v>
      </c>
      <c r="R133" s="30" t="str">
        <f aca="false">'Dados completos'!AJ105</f>
        <v>Língua-chave EN (exigência 1); experiência prévia em finanças valorizada, CV tem pouca; exige mestrado em curso ou convenção de estágio, risco.</v>
      </c>
      <c r="S133" s="30" t="str">
        <f aca="false">'Dados completos'!AK105</f>
        <v>Por confirmar</v>
      </c>
      <c r="T133" s="24" t="str">
        <f aca="false">'Dados completos'!AP105</f>
        <v>Parcial (agregador/título)</v>
      </c>
      <c r="U133" s="30" t="str">
        <f aca="false">'Dados completos'!AO105</f>
        <v>Página de carreiras (procurar a vaga)</v>
      </c>
      <c r="V133" s="32" t="str">
        <f aca="false">HYPERLINK('Dados completos'!AN105,"Abrir")</f>
        <v>Abrir</v>
      </c>
    </row>
    <row r="134" customFormat="false" ht="45.75" hidden="false" customHeight="true" outlineLevel="0" collapsed="false">
      <c r="A134" s="24" t="n">
        <f aca="false">'Dados completos'!A132</f>
        <v>129</v>
      </c>
      <c r="B134" s="25" t="str">
        <f aca="false">'Dados completos'!AL132</f>
        <v>Candidatar (reach)</v>
      </c>
      <c r="C134" s="24" t="n">
        <f aca="false">'Dados completos'!Y132</f>
        <v>3</v>
      </c>
      <c r="D134" s="26" t="n">
        <f aca="false">'Dados completos'!AF132</f>
        <v>60.5</v>
      </c>
      <c r="E134" s="27" t="n">
        <f aca="false">'Dados completos'!AH132</f>
        <v>0.01126</v>
      </c>
      <c r="F134" s="28" t="str">
        <f aca="false">'Dados completos'!AI132</f>
        <v>Baixa</v>
      </c>
      <c r="G134" s="29" t="str">
        <f aca="false">'Dados completos'!B132</f>
        <v>UBS</v>
      </c>
      <c r="H134" s="30" t="str">
        <f aca="false">'Dados completos'!C132</f>
        <v>Off-Cycle Internship, Asset Management (Londres)</v>
      </c>
      <c r="I134" s="30" t="str">
        <f aca="false">'Dados completos'!E132</f>
        <v>Banca de investimento</v>
      </c>
      <c r="J134" s="24" t="str">
        <f aca="false">'Dados completos'!F132</f>
        <v>Reino Unido</v>
      </c>
      <c r="K134" s="30" t="str">
        <f aca="false">'Dados completos'!G132</f>
        <v>Londres</v>
      </c>
      <c r="L134" s="30" t="str">
        <f aca="false">'Dados completos'!H132</f>
        <v>Não indicado (provável presencial)</v>
      </c>
      <c r="M134" s="30" t="str">
        <f aca="false">'Dados completos'!I132</f>
        <v>Por confirmar</v>
      </c>
      <c r="N134" s="31" t="str">
        <f aca="false">'Dados completos'!O132</f>
        <v>Não indicado</v>
      </c>
      <c r="O134" s="28" t="str">
        <f aca="false">'Dados completos'!V132</f>
        <v>Muito alta</v>
      </c>
      <c r="P134" s="30" t="str">
        <f aca="false">IF('Dados completos'!R132="","n/d",IF('Dados completos'!R132='Dados completos'!S132,TEXT('Dados completos'!R132,"#,##0"),TEXT('Dados completos'!R132,"#,##0")&amp;", "&amp;TEXT('Dados completos'!S132,"#,##0")))</f>
        <v>2,800, 4,000</v>
      </c>
      <c r="Q134" s="30" t="str">
        <f aca="false">'Dados completos'!M132</f>
        <v>Inglês (ver oferta)</v>
      </c>
      <c r="R134" s="30" t="str">
        <f aca="false">'Dados completos'!AJ132</f>
        <v>Língua-chave EN (exigência 1); experiência prévia em finanças valorizada, CV tem pouca; exige mestrado em curso ou convenção de estágio, risco.</v>
      </c>
      <c r="S134" s="30" t="str">
        <f aca="false">'Dados completos'!AK132</f>
        <v>Por confirmar</v>
      </c>
      <c r="T134" s="24" t="str">
        <f aca="false">'Dados completos'!AP132</f>
        <v>Parcial (agregador/título)</v>
      </c>
      <c r="U134" s="30" t="str">
        <f aca="false">'Dados completos'!AO132</f>
        <v>Página de carreiras (procurar a vaga)</v>
      </c>
      <c r="V134" s="32" t="str">
        <f aca="false">HYPERLINK('Dados completos'!AN132,"Abrir")</f>
        <v>Abrir</v>
      </c>
    </row>
    <row r="135" customFormat="false" ht="45.75" hidden="false" customHeight="true" outlineLevel="0" collapsed="false">
      <c r="A135" s="24" t="n">
        <f aca="false">'Dados completos'!A133</f>
        <v>130</v>
      </c>
      <c r="B135" s="25" t="str">
        <f aca="false">'Dados completos'!AL133</f>
        <v>Candidatar (reach)</v>
      </c>
      <c r="C135" s="24" t="n">
        <f aca="false">'Dados completos'!Y133</f>
        <v>3</v>
      </c>
      <c r="D135" s="26" t="n">
        <f aca="false">'Dados completos'!AF133</f>
        <v>60.5</v>
      </c>
      <c r="E135" s="27" t="n">
        <f aca="false">'Dados completos'!AH133</f>
        <v>0.01126</v>
      </c>
      <c r="F135" s="28" t="str">
        <f aca="false">'Dados completos'!AI133</f>
        <v>Baixa</v>
      </c>
      <c r="G135" s="29" t="str">
        <f aca="false">'Dados completos'!B133</f>
        <v>UBS</v>
      </c>
      <c r="H135" s="30" t="str">
        <f aca="false">'Dados completos'!C133</f>
        <v>Off-Cycle Internship, Investment Banking (Londres)</v>
      </c>
      <c r="I135" s="30" t="str">
        <f aca="false">'Dados completos'!E133</f>
        <v>Banca de investimento</v>
      </c>
      <c r="J135" s="24" t="str">
        <f aca="false">'Dados completos'!F133</f>
        <v>Reino Unido</v>
      </c>
      <c r="K135" s="30" t="str">
        <f aca="false">'Dados completos'!G133</f>
        <v>Londres</v>
      </c>
      <c r="L135" s="30" t="str">
        <f aca="false">'Dados completos'!H133</f>
        <v>Não indicado (provável presencial)</v>
      </c>
      <c r="M135" s="30" t="str">
        <f aca="false">'Dados completos'!I133</f>
        <v>Por confirmar</v>
      </c>
      <c r="N135" s="31" t="str">
        <f aca="false">'Dados completos'!O133</f>
        <v>Não indicado</v>
      </c>
      <c r="O135" s="28" t="str">
        <f aca="false">'Dados completos'!V133</f>
        <v>Muito alta</v>
      </c>
      <c r="P135" s="30" t="str">
        <f aca="false">IF('Dados completos'!R133="","n/d",IF('Dados completos'!R133='Dados completos'!S133,TEXT('Dados completos'!R133,"#,##0"),TEXT('Dados completos'!R133,"#,##0")&amp;", "&amp;TEXT('Dados completos'!S133,"#,##0")))</f>
        <v>2,800, 4,000</v>
      </c>
      <c r="Q135" s="30" t="str">
        <f aca="false">'Dados completos'!M133</f>
        <v>Inglês (ver oferta)</v>
      </c>
      <c r="R135" s="30" t="str">
        <f aca="false">'Dados completos'!AJ133</f>
        <v>Língua-chave EN (exigência 1); experiência prévia em finanças valorizada, CV tem pouca; exige mestrado em curso ou convenção de estágio, risco.</v>
      </c>
      <c r="S135" s="30" t="str">
        <f aca="false">'Dados completos'!AK133</f>
        <v>Por confirmar</v>
      </c>
      <c r="T135" s="24" t="str">
        <f aca="false">'Dados completos'!AP133</f>
        <v>Parcial (agregador/título)</v>
      </c>
      <c r="U135" s="30" t="str">
        <f aca="false">'Dados completos'!AO133</f>
        <v>Página de carreiras (procurar a vaga)</v>
      </c>
      <c r="V135" s="32" t="str">
        <f aca="false">HYPERLINK('Dados completos'!AN133,"Abrir")</f>
        <v>Abrir</v>
      </c>
    </row>
    <row r="136" customFormat="false" ht="45.75" hidden="false" customHeight="true" outlineLevel="0" collapsed="false">
      <c r="A136" s="24" t="n">
        <f aca="false">'Dados completos'!A93</f>
        <v>90</v>
      </c>
      <c r="B136" s="25" t="str">
        <f aca="false">'Dados completos'!AL93</f>
        <v>Prioridade</v>
      </c>
      <c r="C136" s="24" t="n">
        <f aca="false">'Dados completos'!Y93</f>
        <v>3.5</v>
      </c>
      <c r="D136" s="26" t="n">
        <f aca="false">'Dados completos'!AF93</f>
        <v>41</v>
      </c>
      <c r="E136" s="27" t="n">
        <f aca="false">'Dados completos'!AH93</f>
        <v>0.00892</v>
      </c>
      <c r="F136" s="28" t="str">
        <f aca="false">'Dados completos'!AI93</f>
        <v>Baixa</v>
      </c>
      <c r="G136" s="29" t="str">
        <f aca="false">'Dados completos'!B93</f>
        <v>IK Partners</v>
      </c>
      <c r="H136" s="30" t="str">
        <f aca="false">'Dados completos'!C93</f>
        <v>Off-Cycle Analyst Intern (Amesterdão)</v>
      </c>
      <c r="I136" s="30" t="str">
        <f aca="false">'Dados completos'!E93</f>
        <v>VC / private equity</v>
      </c>
      <c r="J136" s="24" t="str">
        <f aca="false">'Dados completos'!F93</f>
        <v>Países Baixos</v>
      </c>
      <c r="K136" s="30" t="str">
        <f aca="false">'Dados completos'!G93</f>
        <v>Amesterdão</v>
      </c>
      <c r="L136" s="30" t="str">
        <f aca="false">'Dados completos'!H93</f>
        <v>Não indicado (provável presencial)</v>
      </c>
      <c r="M136" s="30" t="str">
        <f aca="false">'Dados completos'!I93</f>
        <v>Por confirmar</v>
      </c>
      <c r="N136" s="31" t="str">
        <f aca="false">'Dados completos'!O93</f>
        <v>Não indicado</v>
      </c>
      <c r="O136" s="28" t="str">
        <f aca="false">'Dados completos'!V93</f>
        <v>Muito alta</v>
      </c>
      <c r="P136" s="30" t="str">
        <f aca="false">IF('Dados completos'!R93="","n/d",IF('Dados completos'!R93='Dados completos'!S93,TEXT('Dados completos'!R93,"#,##0"),TEXT('Dados completos'!R93,"#,##0")&amp;", "&amp;TEXT('Dados completos'!S93,"#,##0")))</f>
        <v>1,800, 2,500</v>
      </c>
      <c r="Q136" s="30" t="str">
        <f aca="false">'Dados completos'!M93</f>
        <v>Neerlandês e inglês (ver oferta)</v>
      </c>
      <c r="R136" s="30" t="str">
        <f aca="false">'Dados completos'!AJ93</f>
        <v>Língua-chave NL (exigência 0.6); pede experiência prévia em IB/PE/consultoria, o CV mostrado não tem; exige mestrado em curso ou convenção de estágio, risco.</v>
      </c>
      <c r="S136" s="30" t="str">
        <f aca="false">'Dados completos'!AK93</f>
        <v>Por confirmar</v>
      </c>
      <c r="T136" s="24" t="str">
        <f aca="false">'Dados completos'!AP93</f>
        <v>Parcial (agregador/título)</v>
      </c>
      <c r="U136" s="30" t="str">
        <f aca="false">'Dados completos'!AO93</f>
        <v>Direto (site/ATS da empresa)</v>
      </c>
      <c r="V136" s="32" t="str">
        <f aca="false">HYPERLINK('Dados completos'!AN93,"Abrir")</f>
        <v>Abrir</v>
      </c>
    </row>
    <row r="137" customFormat="false" ht="45.75" hidden="false" customHeight="true" outlineLevel="0" collapsed="false">
      <c r="A137" s="24" t="n">
        <f aca="false">'Dados completos'!A109</f>
        <v>106</v>
      </c>
      <c r="B137" s="25" t="str">
        <f aca="false">'Dados completos'!AL109</f>
        <v>Candidatar (reach)</v>
      </c>
      <c r="C137" s="24" t="n">
        <f aca="false">'Dados completos'!Y109</f>
        <v>3</v>
      </c>
      <c r="D137" s="26" t="n">
        <f aca="false">'Dados completos'!AF109</f>
        <v>57.5</v>
      </c>
      <c r="E137" s="27" t="n">
        <f aca="false">'Dados completos'!AH109</f>
        <v>0.0109</v>
      </c>
      <c r="F137" s="28" t="str">
        <f aca="false">'Dados completos'!AI109</f>
        <v>Baixa</v>
      </c>
      <c r="G137" s="29" t="str">
        <f aca="false">'Dados completos'!B109</f>
        <v>Goldman Sachs</v>
      </c>
      <c r="H137" s="30" t="str">
        <f aca="false">'Dados completos'!C109</f>
        <v>2027 Asset Management, Private Credit, Seasonal/Off-Cycle</v>
      </c>
      <c r="I137" s="30" t="str">
        <f aca="false">'Dados completos'!E109</f>
        <v>Banca de investimento</v>
      </c>
      <c r="J137" s="24" t="str">
        <f aca="false">'Dados completos'!F109</f>
        <v>Reino Unido</v>
      </c>
      <c r="K137" s="30" t="str">
        <f aca="false">'Dados completos'!G109</f>
        <v>Londres</v>
      </c>
      <c r="L137" s="30" t="str">
        <f aca="false">'Dados completos'!H109</f>
        <v>Não indicado (provável presencial)</v>
      </c>
      <c r="M137" s="30" t="str">
        <f aca="false">'Dados completos'!I109</f>
        <v>2027 (mês por confirmar)</v>
      </c>
      <c r="N137" s="31" t="str">
        <f aca="false">'Dados completos'!O109</f>
        <v>Não indicado</v>
      </c>
      <c r="O137" s="28" t="str">
        <f aca="false">'Dados completos'!V109</f>
        <v>Muito alta</v>
      </c>
      <c r="P137" s="30" t="str">
        <f aca="false">IF('Dados completos'!R109="","n/d",IF('Dados completos'!R109='Dados completos'!S109,TEXT('Dados completos'!R109,"#,##0"),TEXT('Dados completos'!R109,"#,##0")&amp;", "&amp;TEXT('Dados completos'!S109,"#,##0")))</f>
        <v>2,800, 4,000</v>
      </c>
      <c r="Q137" s="30" t="str">
        <f aca="false">'Dados completos'!M109</f>
        <v>Inglês (ver oferta)</v>
      </c>
      <c r="R137" s="30" t="str">
        <f aca="false">'Dados completos'!AJ109</f>
        <v>Língua-chave EN (exigência 1); pede experiência prévia em IB/PE/consultoria, o CV mostrado não tem; exige mestrado em curso ou convenção de estágio, risco.</v>
      </c>
      <c r="S137" s="30" t="str">
        <f aca="false">'Dados completos'!AK109</f>
        <v>Por confirmar</v>
      </c>
      <c r="T137" s="24" t="str">
        <f aca="false">'Dados completos'!AP109</f>
        <v>Parcial (agregador/título)</v>
      </c>
      <c r="U137" s="30" t="str">
        <f aca="false">'Dados completos'!AO109</f>
        <v>Direto (site/ATS da empresa)</v>
      </c>
      <c r="V137" s="32" t="str">
        <f aca="false">HYPERLINK('Dados completos'!AN109,"Abrir")</f>
        <v>Abrir</v>
      </c>
    </row>
    <row r="138" customFormat="false" ht="45.75" hidden="false" customHeight="true" outlineLevel="0" collapsed="false">
      <c r="A138" s="24" t="n">
        <f aca="false">'Dados completos'!A110</f>
        <v>107</v>
      </c>
      <c r="B138" s="25" t="str">
        <f aca="false">'Dados completos'!AL110</f>
        <v>Candidatar (reach)</v>
      </c>
      <c r="C138" s="24" t="n">
        <f aca="false">'Dados completos'!Y110</f>
        <v>3</v>
      </c>
      <c r="D138" s="26" t="n">
        <f aca="false">'Dados completos'!AF110</f>
        <v>57.5</v>
      </c>
      <c r="E138" s="27" t="n">
        <f aca="false">'Dados completos'!AH110</f>
        <v>0.0109</v>
      </c>
      <c r="F138" s="28" t="str">
        <f aca="false">'Dados completos'!AI110</f>
        <v>Baixa</v>
      </c>
      <c r="G138" s="29" t="str">
        <f aca="false">'Dados completos'!B110</f>
        <v>Goldman Sachs</v>
      </c>
      <c r="H138" s="30" t="str">
        <f aca="false">'Dados completos'!C110</f>
        <v>2027 Asset Management, Real Estate, Alternatives Investing, Seasonal/Off-Cycle</v>
      </c>
      <c r="I138" s="30" t="str">
        <f aca="false">'Dados completos'!E110</f>
        <v>Banca de investimento</v>
      </c>
      <c r="J138" s="24" t="str">
        <f aca="false">'Dados completos'!F110</f>
        <v>Reino Unido</v>
      </c>
      <c r="K138" s="30" t="str">
        <f aca="false">'Dados completos'!G110</f>
        <v>Londres</v>
      </c>
      <c r="L138" s="30" t="str">
        <f aca="false">'Dados completos'!H110</f>
        <v>Não indicado (provável presencial)</v>
      </c>
      <c r="M138" s="30" t="str">
        <f aca="false">'Dados completos'!I110</f>
        <v>2027 (mês por confirmar)</v>
      </c>
      <c r="N138" s="31" t="str">
        <f aca="false">'Dados completos'!O110</f>
        <v>Não indicado</v>
      </c>
      <c r="O138" s="28" t="str">
        <f aca="false">'Dados completos'!V110</f>
        <v>Muito alta</v>
      </c>
      <c r="P138" s="30" t="str">
        <f aca="false">IF('Dados completos'!R110="","n/d",IF('Dados completos'!R110='Dados completos'!S110,TEXT('Dados completos'!R110,"#,##0"),TEXT('Dados completos'!R110,"#,##0")&amp;", "&amp;TEXT('Dados completos'!S110,"#,##0")))</f>
        <v>2,800, 4,000</v>
      </c>
      <c r="Q138" s="30" t="str">
        <f aca="false">'Dados completos'!M110</f>
        <v>Inglês (ver oferta)</v>
      </c>
      <c r="R138" s="30" t="str">
        <f aca="false">'Dados completos'!AJ110</f>
        <v>Língua-chave EN (exigência 1); pede experiência prévia em IB/PE/consultoria, o CV mostrado não tem; exige mestrado em curso ou convenção de estágio, risco.</v>
      </c>
      <c r="S138" s="30" t="str">
        <f aca="false">'Dados completos'!AK110</f>
        <v>Por confirmar</v>
      </c>
      <c r="T138" s="24" t="str">
        <f aca="false">'Dados completos'!AP110</f>
        <v>Parcial (agregador/título)</v>
      </c>
      <c r="U138" s="30" t="str">
        <f aca="false">'Dados completos'!AO110</f>
        <v>Direto (site/ATS da empresa)</v>
      </c>
      <c r="V138" s="32" t="str">
        <f aca="false">HYPERLINK('Dados completos'!AN110,"Abrir")</f>
        <v>Abrir</v>
      </c>
    </row>
    <row r="139" customFormat="false" ht="45.75" hidden="false" customHeight="true" outlineLevel="0" collapsed="false">
      <c r="A139" s="24" t="n">
        <f aca="false">'Dados completos'!A111</f>
        <v>108</v>
      </c>
      <c r="B139" s="25" t="str">
        <f aca="false">'Dados completos'!AL111</f>
        <v>Candidatar (reach)</v>
      </c>
      <c r="C139" s="24" t="n">
        <f aca="false">'Dados completos'!Y111</f>
        <v>3</v>
      </c>
      <c r="D139" s="26" t="n">
        <f aca="false">'Dados completos'!AF111</f>
        <v>57.5</v>
      </c>
      <c r="E139" s="27" t="n">
        <f aca="false">'Dados completos'!AH111</f>
        <v>0.0109</v>
      </c>
      <c r="F139" s="28" t="str">
        <f aca="false">'Dados completos'!AI111</f>
        <v>Baixa</v>
      </c>
      <c r="G139" s="29" t="str">
        <f aca="false">'Dados completos'!B111</f>
        <v>Goldman Sachs</v>
      </c>
      <c r="H139" s="30" t="str">
        <f aca="false">'Dados completos'!C111</f>
        <v>2027 Asset Management, Infrastructure Private Equity, Seasonal/Off-Cycle</v>
      </c>
      <c r="I139" s="30" t="str">
        <f aca="false">'Dados completos'!E111</f>
        <v>Banca de investimento</v>
      </c>
      <c r="J139" s="24" t="str">
        <f aca="false">'Dados completos'!F111</f>
        <v>Reino Unido</v>
      </c>
      <c r="K139" s="30" t="str">
        <f aca="false">'Dados completos'!G111</f>
        <v>Londres</v>
      </c>
      <c r="L139" s="30" t="str">
        <f aca="false">'Dados completos'!H111</f>
        <v>Não indicado (provável presencial)</v>
      </c>
      <c r="M139" s="30" t="str">
        <f aca="false">'Dados completos'!I111</f>
        <v>2027 (mês por confirmar)</v>
      </c>
      <c r="N139" s="31" t="str">
        <f aca="false">'Dados completos'!O111</f>
        <v>Não indicado</v>
      </c>
      <c r="O139" s="28" t="str">
        <f aca="false">'Dados completos'!V111</f>
        <v>Muito alta</v>
      </c>
      <c r="P139" s="30" t="str">
        <f aca="false">IF('Dados completos'!R111="","n/d",IF('Dados completos'!R111='Dados completos'!S111,TEXT('Dados completos'!R111,"#,##0"),TEXT('Dados completos'!R111,"#,##0")&amp;", "&amp;TEXT('Dados completos'!S111,"#,##0")))</f>
        <v>2,800, 4,000</v>
      </c>
      <c r="Q139" s="30" t="str">
        <f aca="false">'Dados completos'!M111</f>
        <v>Inglês (ver oferta)</v>
      </c>
      <c r="R139" s="30" t="str">
        <f aca="false">'Dados completos'!AJ111</f>
        <v>Língua-chave EN (exigência 1); pede experiência prévia em IB/PE/consultoria, o CV mostrado não tem; exige mestrado em curso ou convenção de estágio, risco.</v>
      </c>
      <c r="S139" s="30" t="str">
        <f aca="false">'Dados completos'!AK111</f>
        <v>Por confirmar</v>
      </c>
      <c r="T139" s="24" t="str">
        <f aca="false">'Dados completos'!AP111</f>
        <v>Parcial (agregador/título)</v>
      </c>
      <c r="U139" s="30" t="str">
        <f aca="false">'Dados completos'!AO111</f>
        <v>Direto (site/ATS da empresa)</v>
      </c>
      <c r="V139" s="32" t="str">
        <f aca="false">HYPERLINK('Dados completos'!AN111,"Abrir")</f>
        <v>Abrir</v>
      </c>
    </row>
    <row r="140" customFormat="false" ht="45.75" hidden="false" customHeight="true" outlineLevel="0" collapsed="false">
      <c r="A140" s="24" t="n">
        <f aca="false">'Dados completos'!A120</f>
        <v>117</v>
      </c>
      <c r="B140" s="25" t="str">
        <f aca="false">'Dados completos'!AL120</f>
        <v>Candidatar (reach)</v>
      </c>
      <c r="C140" s="24" t="n">
        <f aca="false">'Dados completos'!Y120</f>
        <v>3</v>
      </c>
      <c r="D140" s="26" t="n">
        <f aca="false">'Dados completos'!AF120</f>
        <v>57.5</v>
      </c>
      <c r="E140" s="27" t="n">
        <f aca="false">'Dados completos'!AH120</f>
        <v>0.0109</v>
      </c>
      <c r="F140" s="28" t="str">
        <f aca="false">'Dados completos'!AI120</f>
        <v>Baixa</v>
      </c>
      <c r="G140" s="29" t="str">
        <f aca="false">'Dados completos'!B120</f>
        <v>Goldman Sachs</v>
      </c>
      <c r="H140" s="30" t="str">
        <f aca="false">'Dados completos'!C120</f>
        <v>2027 Investment Banking, Classic, Seasonal/Off-Cycle</v>
      </c>
      <c r="I140" s="30" t="str">
        <f aca="false">'Dados completos'!E120</f>
        <v>Banca de investimento</v>
      </c>
      <c r="J140" s="24" t="str">
        <f aca="false">'Dados completos'!F120</f>
        <v>Suécia</v>
      </c>
      <c r="K140" s="30" t="str">
        <f aca="false">'Dados completos'!G120</f>
        <v>Estocolmo</v>
      </c>
      <c r="L140" s="30" t="str">
        <f aca="false">'Dados completos'!H120</f>
        <v>Não indicado (provável presencial)</v>
      </c>
      <c r="M140" s="30" t="str">
        <f aca="false">'Dados completos'!I120</f>
        <v>2027 (mês por confirmar)</v>
      </c>
      <c r="N140" s="31" t="str">
        <f aca="false">'Dados completos'!O120</f>
        <v>Não indicado</v>
      </c>
      <c r="O140" s="28" t="str">
        <f aca="false">'Dados completos'!V120</f>
        <v>Muito alta</v>
      </c>
      <c r="P140" s="30" t="str">
        <f aca="false">IF('Dados completos'!R120="","n/d",IF('Dados completos'!R120='Dados completos'!S120,TEXT('Dados completos'!R120,"#,##0"),TEXT('Dados completos'!R120,"#,##0")&amp;", "&amp;TEXT('Dados completos'!S120,"#,##0")))</f>
        <v>2,000, 3,000</v>
      </c>
      <c r="Q140" s="30" t="str">
        <f aca="false">'Dados completos'!M120</f>
        <v>Inglês (ver oferta)</v>
      </c>
      <c r="R140" s="30" t="str">
        <f aca="false">'Dados completos'!AJ120</f>
        <v>Língua-chave EN (exigência 1); pede experiência prévia em IB/PE/consultoria, o CV mostrado não tem; exige mestrado em curso ou convenção de estágio, risco.</v>
      </c>
      <c r="S140" s="30" t="str">
        <f aca="false">'Dados completos'!AK120</f>
        <v>Por confirmar</v>
      </c>
      <c r="T140" s="24" t="str">
        <f aca="false">'Dados completos'!AP120</f>
        <v>Parcial (agregador/título)</v>
      </c>
      <c r="U140" s="30" t="str">
        <f aca="false">'Dados completos'!AO120</f>
        <v>Direto (site/ATS da empresa)</v>
      </c>
      <c r="V140" s="32" t="str">
        <f aca="false">HYPERLINK('Dados completos'!AN120,"Abrir")</f>
        <v>Abrir</v>
      </c>
    </row>
    <row r="141" customFormat="false" ht="45.75" hidden="false" customHeight="true" outlineLevel="0" collapsed="false">
      <c r="A141" s="24" t="n">
        <f aca="false">'Dados completos'!A88</f>
        <v>85</v>
      </c>
      <c r="B141" s="25" t="str">
        <f aca="false">'Dados completos'!AL88</f>
        <v>Candidatar (reach)</v>
      </c>
      <c r="C141" s="24" t="n">
        <f aca="false">'Dados completos'!Y88</f>
        <v>3.4</v>
      </c>
      <c r="D141" s="26" t="n">
        <f aca="false">'Dados completos'!AF88</f>
        <v>39.2</v>
      </c>
      <c r="E141" s="27" t="n">
        <f aca="false">'Dados completos'!AH88</f>
        <v>0.008704</v>
      </c>
      <c r="F141" s="28" t="str">
        <f aca="false">'Dados completos'!AI88</f>
        <v>Baixa</v>
      </c>
      <c r="G141" s="29" t="str">
        <f aca="false">'Dados completos'!B88</f>
        <v>Tikehau Capital</v>
      </c>
      <c r="H141" s="30" t="str">
        <f aca="false">'Dados completos'!C88</f>
        <v>Internship, Private Equity (Paris), Jan ou Mar 2027</v>
      </c>
      <c r="I141" s="30" t="str">
        <f aca="false">'Dados completos'!E88</f>
        <v>VC / private equity</v>
      </c>
      <c r="J141" s="24" t="str">
        <f aca="false">'Dados completos'!F88</f>
        <v>França</v>
      </c>
      <c r="K141" s="30" t="str">
        <f aca="false">'Dados completos'!G88</f>
        <v>Paris</v>
      </c>
      <c r="L141" s="30" t="str">
        <f aca="false">'Dados completos'!H88</f>
        <v>Não indicado (provável presencial)</v>
      </c>
      <c r="M141" s="30" t="str">
        <f aca="false">'Dados completos'!I88</f>
        <v>Jan/Mar 2027</v>
      </c>
      <c r="N141" s="31" t="str">
        <f aca="false">'Dados completos'!O88</f>
        <v>Não indicado</v>
      </c>
      <c r="O141" s="28" t="str">
        <f aca="false">'Dados completos'!V88</f>
        <v>Muito alta</v>
      </c>
      <c r="P141" s="30" t="str">
        <f aca="false">IF('Dados completos'!R88="","n/d",IF('Dados completos'!R88='Dados completos'!S88,TEXT('Dados completos'!R88,"#,##0"),TEXT('Dados completos'!R88,"#,##0")&amp;", "&amp;TEXT('Dados completos'!S88,"#,##0")))</f>
        <v>1,500, 2,500</v>
      </c>
      <c r="Q141" s="30" t="str">
        <f aca="false">'Dados completos'!M88</f>
        <v>Francês e inglês (ver oferta)</v>
      </c>
      <c r="R141" s="30" t="str">
        <f aca="false">'Dados completos'!AJ88</f>
        <v>Língua-chave FR (exigência 0.8); experiência prévia em finanças valorizada, CV tem pouca; exige mestrado em curso ou convenção de estágio, risco.</v>
      </c>
      <c r="S141" s="30" t="str">
        <f aca="false">'Dados completos'!AK88</f>
        <v>Por confirmar</v>
      </c>
      <c r="T141" s="24" t="str">
        <f aca="false">'Dados completos'!AP88</f>
        <v>Parcial (agregador/título)</v>
      </c>
      <c r="U141" s="30" t="str">
        <f aca="false">'Dados completos'!AO88</f>
        <v>Direto (site/ATS da empresa)</v>
      </c>
      <c r="V141" s="32" t="str">
        <f aca="false">HYPERLINK('Dados completos'!AN88,"Abrir")</f>
        <v>Abrir</v>
      </c>
    </row>
    <row r="142" customFormat="false" ht="45.75" hidden="false" customHeight="true" outlineLevel="0" collapsed="false">
      <c r="A142" s="24" t="n">
        <f aca="false">'Dados completos'!A134</f>
        <v>131</v>
      </c>
      <c r="B142" s="25" t="str">
        <f aca="false">'Dados completos'!AL134</f>
        <v>Candidatar (reach)</v>
      </c>
      <c r="C142" s="24" t="n">
        <f aca="false">'Dados completos'!Y134</f>
        <v>3</v>
      </c>
      <c r="D142" s="26" t="n">
        <f aca="false">'Dados completos'!AF134</f>
        <v>53.45</v>
      </c>
      <c r="E142" s="27" t="n">
        <f aca="false">'Dados completos'!AH134</f>
        <v>0.010414</v>
      </c>
      <c r="F142" s="28" t="str">
        <f aca="false">'Dados completos'!AI134</f>
        <v>Baixa</v>
      </c>
      <c r="G142" s="29" t="str">
        <f aca="false">'Dados completos'!B134</f>
        <v>UBS</v>
      </c>
      <c r="H142" s="30" t="str">
        <f aca="false">'Dados completos'!C134</f>
        <v>Off-Cycle Internship, Investment Banking (Zurique)</v>
      </c>
      <c r="I142" s="30" t="str">
        <f aca="false">'Dados completos'!E134</f>
        <v>Banca de investimento</v>
      </c>
      <c r="J142" s="24" t="str">
        <f aca="false">'Dados completos'!F134</f>
        <v>Suíça</v>
      </c>
      <c r="K142" s="30" t="str">
        <f aca="false">'Dados completos'!G134</f>
        <v>Zurique</v>
      </c>
      <c r="L142" s="30" t="str">
        <f aca="false">'Dados completos'!H134</f>
        <v>Não indicado (provável presencial)</v>
      </c>
      <c r="M142" s="30" t="str">
        <f aca="false">'Dados completos'!I134</f>
        <v>Por confirmar</v>
      </c>
      <c r="N142" s="31" t="str">
        <f aca="false">'Dados completos'!O134</f>
        <v>Não indicado</v>
      </c>
      <c r="O142" s="28" t="str">
        <f aca="false">'Dados completos'!V134</f>
        <v>Muito alta</v>
      </c>
      <c r="P142" s="30" t="str">
        <f aca="false">IF('Dados completos'!R134="","n/d",IF('Dados completos'!R134='Dados completos'!S134,TEXT('Dados completos'!R134,"#,##0"),TEXT('Dados completos'!R134,"#,##0")&amp;", "&amp;TEXT('Dados completos'!S134,"#,##0")))</f>
        <v>3,000, 4,500</v>
      </c>
      <c r="Q142" s="30" t="str">
        <f aca="false">'Dados completos'!M134</f>
        <v>Inglês (ver oferta)</v>
      </c>
      <c r="R142" s="30" t="str">
        <f aca="false">'Dados completos'!AJ134</f>
        <v>Língua-chave DE (exigência 0.3); experiência prévia em finanças valorizada, CV tem pouca; exige mestrado em curso ou convenção de estágio, risco.</v>
      </c>
      <c r="S142" s="30" t="str">
        <f aca="false">'Dados completos'!AK134</f>
        <v>Por confirmar</v>
      </c>
      <c r="T142" s="24" t="str">
        <f aca="false">'Dados completos'!AP134</f>
        <v>Parcial (agregador/título)</v>
      </c>
      <c r="U142" s="30" t="str">
        <f aca="false">'Dados completos'!AO134</f>
        <v>Página de carreiras (procurar a vaga)</v>
      </c>
      <c r="V142" s="32" t="str">
        <f aca="false">HYPERLINK('Dados completos'!AN134,"Abrir")</f>
        <v>Abrir</v>
      </c>
    </row>
    <row r="143" customFormat="false" ht="45.75" hidden="false" customHeight="true" outlineLevel="0" collapsed="false">
      <c r="A143" s="24" t="n">
        <f aca="false">'Dados completos'!A19</f>
        <v>16</v>
      </c>
      <c r="B143" s="25" t="str">
        <f aca="false">'Dados completos'!AL19</f>
        <v>Candidatar (reach)</v>
      </c>
      <c r="C143" s="24" t="n">
        <f aca="false">'Dados completos'!Y19</f>
        <v>3.4</v>
      </c>
      <c r="D143" s="26" t="n">
        <f aca="false">'Dados completos'!AF19</f>
        <v>35.7</v>
      </c>
      <c r="E143" s="27" t="n">
        <f aca="false">'Dados completos'!AH19</f>
        <v>0.008284</v>
      </c>
      <c r="F143" s="28" t="str">
        <f aca="false">'Dados completos'!AI19</f>
        <v>Baixa</v>
      </c>
      <c r="G143" s="29" t="str">
        <f aca="false">'Dados completos'!B19</f>
        <v>Ardian</v>
      </c>
      <c r="H143" s="30" t="str">
        <f aca="false">'Dados completos'!C19</f>
        <v>Private Equity Co-Investment Stage, Janvier 2027</v>
      </c>
      <c r="I143" s="30" t="str">
        <f aca="false">'Dados completos'!E19</f>
        <v>VC / private equity</v>
      </c>
      <c r="J143" s="24" t="str">
        <f aca="false">'Dados completos'!F19</f>
        <v>França</v>
      </c>
      <c r="K143" s="30" t="str">
        <f aca="false">'Dados completos'!G19</f>
        <v>Paris</v>
      </c>
      <c r="L143" s="30" t="str">
        <f aca="false">'Dados completos'!H19</f>
        <v>Não indicado (provável presencial)</v>
      </c>
      <c r="M143" s="30" t="str">
        <f aca="false">'Dados completos'!I19</f>
        <v>Jan 2027</v>
      </c>
      <c r="N143" s="31" t="str">
        <f aca="false">'Dados completos'!O19</f>
        <v>Não indicado</v>
      </c>
      <c r="O143" s="28" t="str">
        <f aca="false">'Dados completos'!V19</f>
        <v>Muito alta</v>
      </c>
      <c r="P143" s="30" t="str">
        <f aca="false">IF('Dados completos'!R19="","n/d",IF('Dados completos'!R19='Dados completos'!S19,TEXT('Dados completos'!R19,"#,##0"),TEXT('Dados completos'!R19,"#,##0")&amp;", "&amp;TEXT('Dados completos'!S19,"#,##0")))</f>
        <v>1,500, 2,500</v>
      </c>
      <c r="Q143" s="30" t="str">
        <f aca="false">'Dados completos'!M19</f>
        <v>Inglês e francês provável</v>
      </c>
      <c r="R143" s="30" t="str">
        <f aca="false">'Dados completos'!AJ19</f>
        <v>Língua-chave FR (exigência 0.8); experiência prévia em finanças valorizada, CV tem pouca; exige mestrado em curso ou convenção de estágio, risco.</v>
      </c>
      <c r="S143" s="30" t="str">
        <f aca="false">'Dados completos'!AK19</f>
        <v>Por confirmar</v>
      </c>
      <c r="T143" s="24" t="str">
        <f aca="false">'Dados completos'!AP19</f>
        <v>Parcial (agregador/título)</v>
      </c>
      <c r="U143" s="30" t="str">
        <f aca="false">'Dados completos'!AO19</f>
        <v>Anúncio em plataforma</v>
      </c>
      <c r="V143" s="32" t="str">
        <f aca="false">HYPERLINK('Dados completos'!AN19,"Abrir")</f>
        <v>Abrir</v>
      </c>
    </row>
    <row r="144" customFormat="false" ht="45.75" hidden="false" customHeight="true" outlineLevel="0" collapsed="false">
      <c r="A144" s="24" t="n">
        <f aca="false">'Dados completos'!A20</f>
        <v>17</v>
      </c>
      <c r="B144" s="25" t="str">
        <f aca="false">'Dados completos'!AL20</f>
        <v>Candidatar (reach)</v>
      </c>
      <c r="C144" s="24" t="n">
        <f aca="false">'Dados completos'!Y20</f>
        <v>3.4</v>
      </c>
      <c r="D144" s="26" t="n">
        <f aca="false">'Dados completos'!AF20</f>
        <v>35.7</v>
      </c>
      <c r="E144" s="27" t="n">
        <f aca="false">'Dados completos'!AH20</f>
        <v>0.008284</v>
      </c>
      <c r="F144" s="28" t="str">
        <f aca="false">'Dados completos'!AI20</f>
        <v>Baixa</v>
      </c>
      <c r="G144" s="29" t="str">
        <f aca="false">'Dados completos'!B20</f>
        <v>Ardian</v>
      </c>
      <c r="H144" s="30" t="str">
        <f aca="false">'Dados completos'!C20</f>
        <v>Private Equity Expansion Stage, Janvier 2027</v>
      </c>
      <c r="I144" s="30" t="str">
        <f aca="false">'Dados completos'!E20</f>
        <v>VC / private equity</v>
      </c>
      <c r="J144" s="24" t="str">
        <f aca="false">'Dados completos'!F20</f>
        <v>França</v>
      </c>
      <c r="K144" s="30" t="str">
        <f aca="false">'Dados completos'!G20</f>
        <v>Paris</v>
      </c>
      <c r="L144" s="30" t="str">
        <f aca="false">'Dados completos'!H20</f>
        <v>Não indicado (provável presencial)</v>
      </c>
      <c r="M144" s="30" t="str">
        <f aca="false">'Dados completos'!I20</f>
        <v>Jan 2027</v>
      </c>
      <c r="N144" s="31" t="str">
        <f aca="false">'Dados completos'!O20</f>
        <v>Não indicado</v>
      </c>
      <c r="O144" s="28" t="str">
        <f aca="false">'Dados completos'!V20</f>
        <v>Muito alta</v>
      </c>
      <c r="P144" s="30" t="str">
        <f aca="false">IF('Dados completos'!R20="","n/d",IF('Dados completos'!R20='Dados completos'!S20,TEXT('Dados completos'!R20,"#,##0"),TEXT('Dados completos'!R20,"#,##0")&amp;", "&amp;TEXT('Dados completos'!S20,"#,##0")))</f>
        <v>1,500, 2,500</v>
      </c>
      <c r="Q144" s="30" t="str">
        <f aca="false">'Dados completos'!M20</f>
        <v>Inglês e francês provável</v>
      </c>
      <c r="R144" s="30" t="str">
        <f aca="false">'Dados completos'!AJ20</f>
        <v>Língua-chave FR (exigência 0.8); experiência prévia em finanças valorizada, CV tem pouca; exige mestrado em curso ou convenção de estágio, risco.</v>
      </c>
      <c r="S144" s="30" t="str">
        <f aca="false">'Dados completos'!AK20</f>
        <v>Por confirmar</v>
      </c>
      <c r="T144" s="24" t="str">
        <f aca="false">'Dados completos'!AP20</f>
        <v>Parcial (agregador/título)</v>
      </c>
      <c r="U144" s="30" t="str">
        <f aca="false">'Dados completos'!AO20</f>
        <v>Anúncio em plataforma</v>
      </c>
      <c r="V144" s="32" t="str">
        <f aca="false">HYPERLINK('Dados completos'!AN20,"Abrir")</f>
        <v>Abrir</v>
      </c>
    </row>
    <row r="145" customFormat="false" ht="45.75" hidden="false" customHeight="true" outlineLevel="0" collapsed="false">
      <c r="A145" s="24" t="n">
        <f aca="false">'Dados completos'!A191</f>
        <v>188</v>
      </c>
      <c r="B145" s="25" t="str">
        <f aca="false">'Dados completos'!AL191</f>
        <v>Reserva</v>
      </c>
      <c r="C145" s="24" t="n">
        <f aca="false">'Dados completos'!Y191</f>
        <v>2.7</v>
      </c>
      <c r="D145" s="26" t="n">
        <f aca="false">'Dados completos'!AF191</f>
        <v>64.5</v>
      </c>
      <c r="E145" s="27" t="n">
        <f aca="false">'Dados completos'!AH191</f>
        <v>0.01174</v>
      </c>
      <c r="F145" s="28" t="str">
        <f aca="false">'Dados completos'!AI191</f>
        <v>Baixa</v>
      </c>
      <c r="G145" s="29" t="str">
        <f aca="false">'Dados completos'!B191</f>
        <v>McKinsey &amp; Company</v>
      </c>
      <c r="H145" s="30" t="str">
        <f aca="false">'Dados completos'!C191</f>
        <v>Business Analyst Intern, Tech &amp; AI (Portugal)</v>
      </c>
      <c r="I145" s="30" t="str">
        <f aca="false">'Dados completos'!E191</f>
        <v>Big 4 / consultoria</v>
      </c>
      <c r="J145" s="24" t="str">
        <f aca="false">'Dados completos'!F191</f>
        <v>Portugal</v>
      </c>
      <c r="K145" s="30" t="str">
        <f aca="false">'Dados completos'!G191</f>
        <v>Lisboa</v>
      </c>
      <c r="L145" s="30" t="str">
        <f aca="false">'Dados completos'!H191</f>
        <v>Não indicado (provável presencial)</v>
      </c>
      <c r="M145" s="30" t="str">
        <f aca="false">'Dados completos'!I191</f>
        <v>Não indicado</v>
      </c>
      <c r="N145" s="31" t="str">
        <f aca="false">'Dados completos'!O191</f>
        <v>Não indicado</v>
      </c>
      <c r="O145" s="28" t="str">
        <f aca="false">'Dados completos'!V191</f>
        <v>Muito alta</v>
      </c>
      <c r="P145" s="30" t="str">
        <f aca="false">IF('Dados completos'!R191="","n/d",IF('Dados completos'!R191='Dados completos'!S191,TEXT('Dados completos'!R191,"#,##0"),TEXT('Dados completos'!R191,"#,##0")&amp;", "&amp;TEXT('Dados completos'!S191,"#,##0")))</f>
        <v>1,300, 1,800</v>
      </c>
      <c r="Q145" s="30" t="str">
        <f aca="false">'Dados completos'!M191</f>
        <v>Inglês (ver oferta)</v>
      </c>
      <c r="R145" s="30" t="str">
        <f aca="false">'Dados completos'!AJ191</f>
        <v>Língua-chave EN (exigência 1); experiência prévia em finanças valorizada, CV tem pouca.</v>
      </c>
      <c r="S145" s="30" t="str">
        <f aca="false">'Dados completos'!AK191</f>
        <v>Por confirmar</v>
      </c>
      <c r="T145" s="24" t="str">
        <f aca="false">'Dados completos'!AP191</f>
        <v>Parcial (agregador/título)</v>
      </c>
      <c r="U145" s="30" t="str">
        <f aca="false">'Dados completos'!AO191</f>
        <v>Anúncio em plataforma</v>
      </c>
      <c r="V145" s="32" t="str">
        <f aca="false">HYPERLINK('Dados completos'!AN191,"Abrir")</f>
        <v>Abrir</v>
      </c>
    </row>
    <row r="146" customFormat="false" ht="45.75" hidden="false" customHeight="true" outlineLevel="0" collapsed="false">
      <c r="A146" s="24" t="n">
        <f aca="false">'Dados completos'!A21</f>
        <v>18</v>
      </c>
      <c r="B146" s="25" t="str">
        <f aca="false">'Dados completos'!AL21</f>
        <v>Reserva</v>
      </c>
      <c r="C146" s="24" t="n">
        <f aca="false">'Dados completos'!Y21</f>
        <v>2.8</v>
      </c>
      <c r="D146" s="26" t="n">
        <f aca="false">'Dados completos'!AF21</f>
        <v>52.1</v>
      </c>
      <c r="E146" s="27" t="n">
        <f aca="false">'Dados completos'!AH21</f>
        <v>0.010252</v>
      </c>
      <c r="F146" s="28" t="str">
        <f aca="false">'Dados completos'!AI21</f>
        <v>Baixa</v>
      </c>
      <c r="G146" s="29" t="str">
        <f aca="false">'Dados completos'!B21</f>
        <v>Ardian</v>
      </c>
      <c r="H146" s="30" t="str">
        <f aca="false">'Dados completos'!C21</f>
        <v>Infrastructure Intern (Madrid)</v>
      </c>
      <c r="I146" s="30" t="str">
        <f aca="false">'Dados completos'!E21</f>
        <v>VC / private equity</v>
      </c>
      <c r="J146" s="24" t="str">
        <f aca="false">'Dados completos'!F21</f>
        <v>Espanha</v>
      </c>
      <c r="K146" s="30" t="str">
        <f aca="false">'Dados completos'!G21</f>
        <v>Madrid</v>
      </c>
      <c r="L146" s="30" t="str">
        <f aca="false">'Dados completos'!H21</f>
        <v>Não indicado (provável presencial)</v>
      </c>
      <c r="M146" s="30" t="str">
        <f aca="false">'Dados completos'!I21</f>
        <v>Q1 2027</v>
      </c>
      <c r="N146" s="31" t="str">
        <f aca="false">'Dados completos'!O21</f>
        <v>Não indicado</v>
      </c>
      <c r="O146" s="28" t="str">
        <f aca="false">'Dados completos'!V21</f>
        <v>Muito alta</v>
      </c>
      <c r="P146" s="30" t="str">
        <f aca="false">IF('Dados completos'!R21="","n/d",IF('Dados completos'!R21='Dados completos'!S21,TEXT('Dados completos'!R21,"#,##0"),TEXT('Dados completos'!R21,"#,##0")&amp;", "&amp;TEXT('Dados completos'!S21,"#,##0")))</f>
        <v>1,000, 1,800</v>
      </c>
      <c r="Q146" s="30" t="str">
        <f aca="false">'Dados completos'!M21</f>
        <v>Inglês; espanhol por confirmar</v>
      </c>
      <c r="R146" s="30" t="str">
        <f aca="false">'Dados completos'!AJ21</f>
        <v>Língua-chave ES (exigência 0.4); experiência prévia em finanças valorizada, CV tem pouca; exige mestrado em curso ou convenção de estágio, risco.</v>
      </c>
      <c r="S146" s="30" t="str">
        <f aca="false">'Dados completos'!AK21</f>
        <v>Por confirmar</v>
      </c>
      <c r="T146" s="24" t="str">
        <f aca="false">'Dados completos'!AP21</f>
        <v>Parcial (agregador/título)</v>
      </c>
      <c r="U146" s="30" t="str">
        <f aca="false">'Dados completos'!AO21</f>
        <v>Anúncio em plataforma</v>
      </c>
      <c r="V146" s="32" t="str">
        <f aca="false">HYPERLINK('Dados completos'!AN21,"Abrir")</f>
        <v>Abrir</v>
      </c>
    </row>
    <row r="147" customFormat="false" ht="45.75" hidden="false" customHeight="true" outlineLevel="0" collapsed="false">
      <c r="A147" s="24" t="n">
        <f aca="false">'Dados completos'!A7</f>
        <v>4</v>
      </c>
      <c r="B147" s="25" t="str">
        <f aca="false">'Dados completos'!AL7</f>
        <v>Candidatar (reach)</v>
      </c>
      <c r="C147" s="24" t="n">
        <f aca="false">'Dados completos'!Y7</f>
        <v>3.4</v>
      </c>
      <c r="D147" s="26" t="n">
        <f aca="false">'Dados completos'!AF7</f>
        <v>33.9</v>
      </c>
      <c r="E147" s="27" t="n">
        <f aca="false">'Dados completos'!AH7</f>
        <v>0.008068</v>
      </c>
      <c r="F147" s="28" t="str">
        <f aca="false">'Dados completos'!AI7</f>
        <v>Baixa</v>
      </c>
      <c r="G147" s="29" t="str">
        <f aca="false">'Dados completos'!B7</f>
        <v>Rothschild &amp; Co (Five Arrows)</v>
      </c>
      <c r="H147" s="30" t="str">
        <f aca="false">'Dados completos'!C7</f>
        <v>Stage, Private Equity Investment Analyst, FAPI</v>
      </c>
      <c r="I147" s="30" t="str">
        <f aca="false">'Dados completos'!E7</f>
        <v>Banca de investimento / boutique</v>
      </c>
      <c r="J147" s="24" t="str">
        <f aca="false">'Dados completos'!F7</f>
        <v>França</v>
      </c>
      <c r="K147" s="30" t="str">
        <f aca="false">'Dados completos'!G7</f>
        <v>Paris</v>
      </c>
      <c r="L147" s="30" t="str">
        <f aca="false">'Dados completos'!H7</f>
        <v>Não indicado (provável presencial)</v>
      </c>
      <c r="M147" s="30" t="str">
        <f aca="false">'Dados completos'!I7</f>
        <v>Mar 2027 (não é janeiro)</v>
      </c>
      <c r="N147" s="31" t="str">
        <f aca="false">'Dados completos'!O7</f>
        <v>Não indicado</v>
      </c>
      <c r="O147" s="28" t="str">
        <f aca="false">'Dados completos'!V7</f>
        <v>Muito alta</v>
      </c>
      <c r="P147" s="30" t="str">
        <f aca="false">IF('Dados completos'!R7="","n/d",IF('Dados completos'!R7='Dados completos'!S7,TEXT('Dados completos'!R7,"#,##0"),TEXT('Dados completos'!R7,"#,##0")&amp;", "&amp;TEXT('Dados completos'!S7,"#,##0")))</f>
        <v>1,500, 2,500</v>
      </c>
      <c r="Q147" s="30" t="str">
        <f aca="false">'Dados completos'!M7</f>
        <v>Francês provável</v>
      </c>
      <c r="R147" s="30" t="str">
        <f aca="false">'Dados completos'!AJ7</f>
        <v>Língua-chave FR (exigência 0.6); pede experiência prévia em IB/PE/consultoria, o CV mostrado não tem; exige mestrado em curso ou convenção de estágio, risco.</v>
      </c>
      <c r="S147" s="30" t="str">
        <f aca="false">'Dados completos'!AK7</f>
        <v>Por confirmar</v>
      </c>
      <c r="T147" s="24" t="str">
        <f aca="false">'Dados completos'!AP7</f>
        <v>Parcial (agregador/título)</v>
      </c>
      <c r="U147" s="30" t="str">
        <f aca="false">'Dados completos'!AO7</f>
        <v>Direto (site/ATS da empresa)</v>
      </c>
      <c r="V147" s="32" t="str">
        <f aca="false">HYPERLINK('Dados completos'!AN7,"Abrir")</f>
        <v>Abrir</v>
      </c>
    </row>
    <row r="148" customFormat="false" ht="45.75" hidden="false" customHeight="true" outlineLevel="0" collapsed="false">
      <c r="A148" s="24" t="n">
        <f aca="false">'Dados completos'!A101</f>
        <v>98</v>
      </c>
      <c r="B148" s="25" t="str">
        <f aca="false">'Dados completos'!AL101</f>
        <v>Reserva</v>
      </c>
      <c r="C148" s="24" t="n">
        <f aca="false">'Dados completos'!Y101</f>
        <v>2.9</v>
      </c>
      <c r="D148" s="26" t="n">
        <f aca="false">'Dados completos'!AF101</f>
        <v>50.6</v>
      </c>
      <c r="E148" s="27" t="n">
        <f aca="false">'Dados completos'!AH101</f>
        <v>0.010072</v>
      </c>
      <c r="F148" s="28" t="str">
        <f aca="false">'Dados completos'!AI101</f>
        <v>Baixa</v>
      </c>
      <c r="G148" s="29" t="str">
        <f aca="false">'Dados completos'!B101</f>
        <v>Barclays</v>
      </c>
      <c r="H148" s="30" t="str">
        <f aca="false">'Dados completos'!C101</f>
        <v>Banking Off-Cycle Internship Programme 2027 (Frankfurt)</v>
      </c>
      <c r="I148" s="30" t="str">
        <f aca="false">'Dados completos'!E101</f>
        <v>Banca de investimento</v>
      </c>
      <c r="J148" s="24" t="str">
        <f aca="false">'Dados completos'!F101</f>
        <v>Alemanha</v>
      </c>
      <c r="K148" s="30" t="str">
        <f aca="false">'Dados completos'!G101</f>
        <v>Frankfurt</v>
      </c>
      <c r="L148" s="30" t="str">
        <f aca="false">'Dados completos'!H101</f>
        <v>Não indicado (provável presencial)</v>
      </c>
      <c r="M148" s="30" t="str">
        <f aca="false">'Dados completos'!I101</f>
        <v>2027 (mês por confirmar)</v>
      </c>
      <c r="N148" s="31" t="str">
        <f aca="false">'Dados completos'!O101</f>
        <v>Não indicado</v>
      </c>
      <c r="O148" s="28" t="str">
        <f aca="false">'Dados completos'!V101</f>
        <v>Muito alta</v>
      </c>
      <c r="P148" s="30" t="str">
        <f aca="false">IF('Dados completos'!R101="","n/d",IF('Dados completos'!R101='Dados completos'!S101,TEXT('Dados completos'!R101,"#,##0"),TEXT('Dados completos'!R101,"#,##0")&amp;", "&amp;TEXT('Dados completos'!S101,"#,##0")))</f>
        <v>1,800, 2,800</v>
      </c>
      <c r="Q148" s="30" t="str">
        <f aca="false">'Dados completos'!M101</f>
        <v>Inglês (ver oferta)</v>
      </c>
      <c r="R148" s="30" t="str">
        <f aca="false">'Dados completos'!AJ101</f>
        <v>Língua-chave DE (exigência 0.4); experiência prévia em finanças valorizada, CV tem pouca; exige mestrado em curso ou convenção de estágio, risco.</v>
      </c>
      <c r="S148" s="30" t="str">
        <f aca="false">'Dados completos'!AK101</f>
        <v>Por confirmar</v>
      </c>
      <c r="T148" s="24" t="str">
        <f aca="false">'Dados completos'!AP101</f>
        <v>Parcial (agregador/título)</v>
      </c>
      <c r="U148" s="30" t="str">
        <f aca="false">'Dados completos'!AO101</f>
        <v>Direto (site/ATS da empresa)</v>
      </c>
      <c r="V148" s="32" t="str">
        <f aca="false">HYPERLINK('Dados completos'!AN101,"Abrir")</f>
        <v>Abrir</v>
      </c>
    </row>
    <row r="149" customFormat="false" ht="45.75" hidden="false" customHeight="true" outlineLevel="0" collapsed="false">
      <c r="A149" s="24" t="n">
        <f aca="false">'Dados completos'!A128</f>
        <v>125</v>
      </c>
      <c r="B149" s="25" t="str">
        <f aca="false">'Dados completos'!AL128</f>
        <v>Reserva</v>
      </c>
      <c r="C149" s="24" t="n">
        <f aca="false">'Dados completos'!Y128</f>
        <v>2.9</v>
      </c>
      <c r="D149" s="26" t="n">
        <f aca="false">'Dados completos'!AF128</f>
        <v>50.6</v>
      </c>
      <c r="E149" s="27" t="n">
        <f aca="false">'Dados completos'!AH128</f>
        <v>0.010072</v>
      </c>
      <c r="F149" s="28" t="str">
        <f aca="false">'Dados completos'!AI128</f>
        <v>Baixa</v>
      </c>
      <c r="G149" s="29" t="str">
        <f aca="false">'Dados completos'!B128</f>
        <v>Houlihan Lokey</v>
      </c>
      <c r="H149" s="30" t="str">
        <f aca="false">'Dados completos'!C128</f>
        <v>2027 Corporate Finance Internship, 4-6 meses (Zurique)</v>
      </c>
      <c r="I149" s="30" t="str">
        <f aca="false">'Dados completos'!E128</f>
        <v>Banca de investimento / boutique</v>
      </c>
      <c r="J149" s="24" t="str">
        <f aca="false">'Dados completos'!F128</f>
        <v>Suíça</v>
      </c>
      <c r="K149" s="30" t="str">
        <f aca="false">'Dados completos'!G128</f>
        <v>Zurique</v>
      </c>
      <c r="L149" s="30" t="str">
        <f aca="false">'Dados completos'!H128</f>
        <v>Não indicado (provável presencial)</v>
      </c>
      <c r="M149" s="30" t="str">
        <f aca="false">'Dados completos'!I128</f>
        <v>2027 (mês por confirmar)</v>
      </c>
      <c r="N149" s="31" t="n">
        <f aca="false">'Dados completos'!O128</f>
        <v>46316</v>
      </c>
      <c r="O149" s="28" t="str">
        <f aca="false">'Dados completos'!V128</f>
        <v>Muito alta</v>
      </c>
      <c r="P149" s="30" t="str">
        <f aca="false">IF('Dados completos'!R128="","n/d",IF('Dados completos'!R128='Dados completos'!S128,TEXT('Dados completos'!R128,"#,##0"),TEXT('Dados completos'!R128,"#,##0")&amp;", "&amp;TEXT('Dados completos'!S128,"#,##0")))</f>
        <v>3,000, 4,500</v>
      </c>
      <c r="Q149" s="30" t="str">
        <f aca="false">'Dados completos'!M128</f>
        <v>Inglês (ver oferta)</v>
      </c>
      <c r="R149" s="30" t="str">
        <f aca="false">'Dados completos'!AJ128</f>
        <v>Língua-chave DE (exigência 0.4); experiência prévia em finanças valorizada, CV tem pouca; exige mestrado em curso ou convenção de estágio, risco.</v>
      </c>
      <c r="S149" s="30" t="str">
        <f aca="false">'Dados completos'!AK128</f>
        <v>Aberta, prazo definido</v>
      </c>
      <c r="T149" s="24" t="str">
        <f aca="false">'Dados completos'!AP128</f>
        <v>Parcial (agregador/título)</v>
      </c>
      <c r="U149" s="30" t="str">
        <f aca="false">'Dados completos'!AO128</f>
        <v>Direto (site/ATS da empresa)</v>
      </c>
      <c r="V149" s="32" t="str">
        <f aca="false">HYPERLINK('Dados completos'!AN128,"Abrir")</f>
        <v>Abrir</v>
      </c>
    </row>
    <row r="150" customFormat="false" ht="45.75" hidden="false" customHeight="true" outlineLevel="0" collapsed="false">
      <c r="A150" s="24" t="n">
        <f aca="false">'Dados completos'!A142</f>
        <v>139</v>
      </c>
      <c r="B150" s="25" t="str">
        <f aca="false">'Dados completos'!AL142</f>
        <v>Reserva</v>
      </c>
      <c r="C150" s="24" t="n">
        <f aca="false">'Dados completos'!Y142</f>
        <v>2.9</v>
      </c>
      <c r="D150" s="26" t="n">
        <f aca="false">'Dados completos'!AF142</f>
        <v>50.6</v>
      </c>
      <c r="E150" s="27" t="n">
        <f aca="false">'Dados completos'!AH142</f>
        <v>0.010072</v>
      </c>
      <c r="F150" s="28" t="str">
        <f aca="false">'Dados completos'!AI142</f>
        <v>Baixa</v>
      </c>
      <c r="G150" s="29" t="str">
        <f aca="false">'Dados completos'!B142</f>
        <v>Macquarie Group</v>
      </c>
      <c r="H150" s="30" t="str">
        <f aca="false">'Dados completos'!C142</f>
        <v>Off-Cycle Internship, Coverage and Solutions 2027 (Frankfurt)</v>
      </c>
      <c r="I150" s="30" t="str">
        <f aca="false">'Dados completos'!E142</f>
        <v>Banca de investimento</v>
      </c>
      <c r="J150" s="24" t="str">
        <f aca="false">'Dados completos'!F142</f>
        <v>Alemanha</v>
      </c>
      <c r="K150" s="30" t="str">
        <f aca="false">'Dados completos'!G142</f>
        <v>Frankfurt</v>
      </c>
      <c r="L150" s="30" t="str">
        <f aca="false">'Dados completos'!H142</f>
        <v>Não indicado (provável presencial)</v>
      </c>
      <c r="M150" s="30" t="str">
        <f aca="false">'Dados completos'!I142</f>
        <v>2027 (mês por confirmar)</v>
      </c>
      <c r="N150" s="31" t="str">
        <f aca="false">'Dados completos'!O142</f>
        <v>Não indicado</v>
      </c>
      <c r="O150" s="28" t="str">
        <f aca="false">'Dados completos'!V142</f>
        <v>Muito alta</v>
      </c>
      <c r="P150" s="30" t="str">
        <f aca="false">IF('Dados completos'!R142="","n/d",IF('Dados completos'!R142='Dados completos'!S142,TEXT('Dados completos'!R142,"#,##0"),TEXT('Dados completos'!R142,"#,##0")&amp;", "&amp;TEXT('Dados completos'!S142,"#,##0")))</f>
        <v>1,800, 2,800</v>
      </c>
      <c r="Q150" s="30" t="str">
        <f aca="false">'Dados completos'!M142</f>
        <v>Inglês (ver oferta)</v>
      </c>
      <c r="R150" s="30" t="str">
        <f aca="false">'Dados completos'!AJ142</f>
        <v>Língua-chave DE (exigência 0.4); experiência prévia em finanças valorizada, CV tem pouca; exige mestrado em curso ou convenção de estágio, risco.</v>
      </c>
      <c r="S150" s="30" t="str">
        <f aca="false">'Dados completos'!AK142</f>
        <v>Por confirmar</v>
      </c>
      <c r="T150" s="24" t="str">
        <f aca="false">'Dados completos'!AP142</f>
        <v>Parcial (agregador/título)</v>
      </c>
      <c r="U150" s="30" t="str">
        <f aca="false">'Dados completos'!AO142</f>
        <v>Anúncio em plataforma</v>
      </c>
      <c r="V150" s="32" t="str">
        <f aca="false">HYPERLINK('Dados completos'!AN142,"Abrir")</f>
        <v>Abrir</v>
      </c>
    </row>
    <row r="151" customFormat="false" ht="45.75" hidden="false" customHeight="true" outlineLevel="0" collapsed="false">
      <c r="A151" s="24" t="n">
        <f aca="false">'Dados completos'!A153</f>
        <v>150</v>
      </c>
      <c r="B151" s="25" t="str">
        <f aca="false">'Dados completos'!AL153</f>
        <v>Reserva</v>
      </c>
      <c r="C151" s="24" t="n">
        <f aca="false">'Dados completos'!Y153</f>
        <v>2.9</v>
      </c>
      <c r="D151" s="26" t="n">
        <f aca="false">'Dados completos'!AF153</f>
        <v>50.6</v>
      </c>
      <c r="E151" s="27" t="n">
        <f aca="false">'Dados completos'!AH153</f>
        <v>0.010072</v>
      </c>
      <c r="F151" s="28" t="str">
        <f aca="false">'Dados completos'!AI153</f>
        <v>Baixa</v>
      </c>
      <c r="G151" s="29" t="str">
        <f aca="false">'Dados completos'!B153</f>
        <v>Jefferies</v>
      </c>
      <c r="H151" s="30" t="str">
        <f aca="false">'Dados completos'!C153</f>
        <v>IB Off-Cycle Internship, Zurique (Q1 2027)</v>
      </c>
      <c r="I151" s="30" t="str">
        <f aca="false">'Dados completos'!E153</f>
        <v>Banca de investimento / boutique</v>
      </c>
      <c r="J151" s="24" t="str">
        <f aca="false">'Dados completos'!F153</f>
        <v>Suíça</v>
      </c>
      <c r="K151" s="30" t="str">
        <f aca="false">'Dados completos'!G153</f>
        <v>Zurique</v>
      </c>
      <c r="L151" s="30" t="str">
        <f aca="false">'Dados completos'!H153</f>
        <v>Não indicado (provável presencial)</v>
      </c>
      <c r="M151" s="30" t="str">
        <f aca="false">'Dados completos'!I153</f>
        <v>Q1 2027</v>
      </c>
      <c r="N151" s="31" t="str">
        <f aca="false">'Dados completos'!O153</f>
        <v>Não indicado</v>
      </c>
      <c r="O151" s="28" t="str">
        <f aca="false">'Dados completos'!V153</f>
        <v>Muito alta</v>
      </c>
      <c r="P151" s="30" t="str">
        <f aca="false">IF('Dados completos'!R153="","n/d",IF('Dados completos'!R153='Dados completos'!S153,TEXT('Dados completos'!R153,"#,##0"),TEXT('Dados completos'!R153,"#,##0")&amp;", "&amp;TEXT('Dados completos'!S153,"#,##0")))</f>
        <v>3,000, 4,500</v>
      </c>
      <c r="Q151" s="30" t="str">
        <f aca="false">'Dados completos'!M153</f>
        <v>Inglês (ver oferta)</v>
      </c>
      <c r="R151" s="30" t="str">
        <f aca="false">'Dados completos'!AJ153</f>
        <v>Língua-chave DE (exigência 0.4); experiência prévia em finanças valorizada, CV tem pouca; exige mestrado em curso ou convenção de estágio, risco.</v>
      </c>
      <c r="S151" s="30" t="str">
        <f aca="false">'Dados completos'!AK153</f>
        <v>Por confirmar</v>
      </c>
      <c r="T151" s="24" t="str">
        <f aca="false">'Dados completos'!AP153</f>
        <v>Parcial (agregador/título)</v>
      </c>
      <c r="U151" s="30" t="str">
        <f aca="false">'Dados completos'!AO153</f>
        <v>Direto (site/ATS da empresa)</v>
      </c>
      <c r="V151" s="32" t="str">
        <f aca="false">HYPERLINK('Dados completos'!AN153,"Abrir")</f>
        <v>Abrir</v>
      </c>
    </row>
    <row r="152" customFormat="false" ht="45.75" hidden="false" customHeight="true" outlineLevel="0" collapsed="false">
      <c r="A152" s="24" t="n">
        <f aca="false">'Dados completos'!A102</f>
        <v>99</v>
      </c>
      <c r="B152" s="25" t="str">
        <f aca="false">'Dados completos'!AL102</f>
        <v>Reserva</v>
      </c>
      <c r="C152" s="24" t="n">
        <f aca="false">'Dados completos'!Y102</f>
        <v>2.9</v>
      </c>
      <c r="D152" s="26" t="n">
        <f aca="false">'Dados completos'!AF102</f>
        <v>50</v>
      </c>
      <c r="E152" s="27" t="n">
        <f aca="false">'Dados completos'!AH102</f>
        <v>0.01</v>
      </c>
      <c r="F152" s="28" t="str">
        <f aca="false">'Dados completos'!AI102</f>
        <v>Baixa</v>
      </c>
      <c r="G152" s="29" t="str">
        <f aca="false">'Dados completos'!B102</f>
        <v>Barclays</v>
      </c>
      <c r="H152" s="30" t="str">
        <f aca="false">'Dados completos'!C102</f>
        <v>Banking Off-Cycle Internship Programme 2027 (Amesterdão)</v>
      </c>
      <c r="I152" s="30" t="str">
        <f aca="false">'Dados completos'!E102</f>
        <v>Banca de investimento</v>
      </c>
      <c r="J152" s="24" t="str">
        <f aca="false">'Dados completos'!F102</f>
        <v>Países Baixos</v>
      </c>
      <c r="K152" s="30" t="str">
        <f aca="false">'Dados completos'!G102</f>
        <v>Amesterdão</v>
      </c>
      <c r="L152" s="30" t="str">
        <f aca="false">'Dados completos'!H102</f>
        <v>Não indicado (provável presencial)</v>
      </c>
      <c r="M152" s="30" t="str">
        <f aca="false">'Dados completos'!I102</f>
        <v>2027 (mês por confirmar)</v>
      </c>
      <c r="N152" s="31" t="str">
        <f aca="false">'Dados completos'!O102</f>
        <v>Não indicado</v>
      </c>
      <c r="O152" s="28" t="str">
        <f aca="false">'Dados completos'!V102</f>
        <v>Muito alta</v>
      </c>
      <c r="P152" s="30" t="str">
        <f aca="false">IF('Dados completos'!R102="","n/d",IF('Dados completos'!R102='Dados completos'!S102,TEXT('Dados completos'!R102,"#,##0"),TEXT('Dados completos'!R102,"#,##0")&amp;", "&amp;TEXT('Dados completos'!S102,"#,##0")))</f>
        <v>1,800, 2,500</v>
      </c>
      <c r="Q152" s="30" t="str">
        <f aca="false">'Dados completos'!M102</f>
        <v>Inglês (ver oferta)</v>
      </c>
      <c r="R152" s="30" t="str">
        <f aca="false">'Dados completos'!AJ102</f>
        <v>Língua-chave NL (exigência 0.4); experiência prévia em finanças valorizada, CV tem pouca; exige mestrado em curso ou convenção de estágio, risco.</v>
      </c>
      <c r="S152" s="30" t="str">
        <f aca="false">'Dados completos'!AK102</f>
        <v>Por confirmar</v>
      </c>
      <c r="T152" s="24" t="str">
        <f aca="false">'Dados completos'!AP102</f>
        <v>Parcial (agregador/título)</v>
      </c>
      <c r="U152" s="30" t="str">
        <f aca="false">'Dados completos'!AO102</f>
        <v>Direto (site/ATS da empresa)</v>
      </c>
      <c r="V152" s="32" t="str">
        <f aca="false">HYPERLINK('Dados completos'!AN102,"Abrir")</f>
        <v>Abrir</v>
      </c>
    </row>
    <row r="153" customFormat="false" ht="45.75" hidden="false" customHeight="true" outlineLevel="0" collapsed="false">
      <c r="A153" s="24" t="n">
        <f aca="false">'Dados completos'!A27</f>
        <v>24</v>
      </c>
      <c r="B153" s="25" t="str">
        <f aca="false">'Dados completos'!AL27</f>
        <v>Candidatar (reach)</v>
      </c>
      <c r="C153" s="24" t="n">
        <f aca="false">'Dados completos'!Y27</f>
        <v>3.2</v>
      </c>
      <c r="D153" s="26" t="n">
        <f aca="false">'Dados completos'!AF27</f>
        <v>49.8</v>
      </c>
      <c r="E153" s="27" t="n">
        <f aca="false">'Dados completos'!AH27</f>
        <v>0.009976</v>
      </c>
      <c r="F153" s="28" t="str">
        <f aca="false">'Dados completos'!AI27</f>
        <v>Baixa</v>
      </c>
      <c r="G153" s="29" t="str">
        <f aca="false">'Dados completos'!B27</f>
        <v>Jefferies</v>
      </c>
      <c r="H153" s="30" t="str">
        <f aca="false">'Dados completos'!C27</f>
        <v>IB Off-Cycle Internship, Madrid (Country Coverage)</v>
      </c>
      <c r="I153" s="30" t="str">
        <f aca="false">'Dados completos'!E27</f>
        <v>Banca de investimento / boutique</v>
      </c>
      <c r="J153" s="24" t="str">
        <f aca="false">'Dados completos'!F27</f>
        <v>Espanha</v>
      </c>
      <c r="K153" s="30" t="str">
        <f aca="false">'Dados completos'!G27</f>
        <v>Madrid</v>
      </c>
      <c r="L153" s="30" t="str">
        <f aca="false">'Dados completos'!H27</f>
        <v>Não indicado (provável presencial)</v>
      </c>
      <c r="M153" s="30" t="str">
        <f aca="false">'Dados completos'!I27</f>
        <v>Fev 2027 (ou Ago)</v>
      </c>
      <c r="N153" s="31" t="str">
        <f aca="false">'Dados completos'!O27</f>
        <v>Não indicado</v>
      </c>
      <c r="O153" s="28" t="str">
        <f aca="false">'Dados completos'!V27</f>
        <v>Muito alta</v>
      </c>
      <c r="P153" s="30" t="str">
        <f aca="false">IF('Dados completos'!R27="","n/d",IF('Dados completos'!R27='Dados completos'!S27,TEXT('Dados completos'!R27,"#,##0"),TEXT('Dados completos'!R27,"#,##0")&amp;", "&amp;TEXT('Dados completos'!S27,"#,##0")))</f>
        <v>1,000, 1,800</v>
      </c>
      <c r="Q153" s="30" t="str">
        <f aca="false">'Dados completos'!M27</f>
        <v>Espanhol provável</v>
      </c>
      <c r="R153" s="30" t="str">
        <f aca="false">'Dados completos'!AJ27</f>
        <v>Língua-chave ES (exigência 0.7); experiência prévia em finanças valorizada, CV tem pouca.</v>
      </c>
      <c r="S153" s="30" t="str">
        <f aca="false">'Dados completos'!AK27</f>
        <v>Por confirmar</v>
      </c>
      <c r="T153" s="24" t="str">
        <f aca="false">'Dados completos'!AP27</f>
        <v>Parcial (agregador/título)</v>
      </c>
      <c r="U153" s="30" t="str">
        <f aca="false">'Dados completos'!AO27</f>
        <v>Direto (site/ATS da empresa)</v>
      </c>
      <c r="V153" s="32" t="str">
        <f aca="false">HYPERLINK('Dados completos'!AN27,"Abrir")</f>
        <v>Abrir</v>
      </c>
    </row>
    <row r="154" customFormat="false" ht="45.75" hidden="false" customHeight="true" outlineLevel="0" collapsed="false">
      <c r="A154" s="24" t="n">
        <f aca="false">'Dados completos'!A107</f>
        <v>104</v>
      </c>
      <c r="B154" s="25" t="str">
        <f aca="false">'Dados completos'!AL107</f>
        <v>Reserva</v>
      </c>
      <c r="C154" s="24" t="n">
        <f aca="false">'Dados completos'!Y107</f>
        <v>2.9</v>
      </c>
      <c r="D154" s="26" t="n">
        <f aca="false">'Dados completos'!AF107</f>
        <v>49.4</v>
      </c>
      <c r="E154" s="27" t="n">
        <f aca="false">'Dados completos'!AH107</f>
        <v>0.009928</v>
      </c>
      <c r="F154" s="28" t="str">
        <f aca="false">'Dados completos'!AI107</f>
        <v>Baixa</v>
      </c>
      <c r="G154" s="29" t="str">
        <f aca="false">'Dados completos'!B107</f>
        <v>Evercore</v>
      </c>
      <c r="H154" s="30" t="str">
        <f aca="false">'Dados completos'!C107</f>
        <v>Milan Off-Cycle Internship, Generalist Team, Jan-Jun 2027</v>
      </c>
      <c r="I154" s="30" t="str">
        <f aca="false">'Dados completos'!E107</f>
        <v>Banca de investimento / boutique</v>
      </c>
      <c r="J154" s="24" t="str">
        <f aca="false">'Dados completos'!F107</f>
        <v>Itália</v>
      </c>
      <c r="K154" s="30" t="str">
        <f aca="false">'Dados completos'!G107</f>
        <v>Milão</v>
      </c>
      <c r="L154" s="30" t="str">
        <f aca="false">'Dados completos'!H107</f>
        <v>Não indicado (provável presencial)</v>
      </c>
      <c r="M154" s="30" t="str">
        <f aca="false">'Dados completos'!I107</f>
        <v>Jan-Jun 2027</v>
      </c>
      <c r="N154" s="31" t="str">
        <f aca="false">'Dados completos'!O107</f>
        <v>Não indicado</v>
      </c>
      <c r="O154" s="28" t="str">
        <f aca="false">'Dados completos'!V107</f>
        <v>Muito alta</v>
      </c>
      <c r="P154" s="30" t="str">
        <f aca="false">IF('Dados completos'!R107="","n/d",IF('Dados completos'!R107='Dados completos'!S107,TEXT('Dados completos'!R107,"#,##0"),TEXT('Dados completos'!R107,"#,##0")&amp;", "&amp;TEXT('Dados completos'!S107,"#,##0")))</f>
        <v>800, 1,500</v>
      </c>
      <c r="Q154" s="30" t="str">
        <f aca="false">'Dados completos'!M107</f>
        <v>Italiano e inglês (ver oferta)</v>
      </c>
      <c r="R154" s="30" t="str">
        <f aca="false">'Dados completos'!AJ107</f>
        <v>Língua-chave IT (exigência 0.6); experiência prévia em finanças valorizada, CV tem pouca; exige mestrado em curso ou convenção de estágio, risco.</v>
      </c>
      <c r="S154" s="30" t="str">
        <f aca="false">'Dados completos'!AK107</f>
        <v>Por confirmar</v>
      </c>
      <c r="T154" s="24" t="str">
        <f aca="false">'Dados completos'!AP107</f>
        <v>Parcial (agregador/título)</v>
      </c>
      <c r="U154" s="30" t="str">
        <f aca="false">'Dados completos'!AO107</f>
        <v>Direto (site/ATS da empresa)</v>
      </c>
      <c r="V154" s="32" t="str">
        <f aca="false">HYPERLINK('Dados completos'!AN107,"Abrir")</f>
        <v>Abrir</v>
      </c>
    </row>
    <row r="155" customFormat="false" ht="45.75" hidden="false" customHeight="true" outlineLevel="0" collapsed="false">
      <c r="A155" s="24" t="n">
        <f aca="false">'Dados completos'!A154</f>
        <v>151</v>
      </c>
      <c r="B155" s="25" t="str">
        <f aca="false">'Dados completos'!AL154</f>
        <v>Reserva</v>
      </c>
      <c r="C155" s="24" t="n">
        <f aca="false">'Dados completos'!Y154</f>
        <v>2.9</v>
      </c>
      <c r="D155" s="26" t="n">
        <f aca="false">'Dados completos'!AF154</f>
        <v>49.4</v>
      </c>
      <c r="E155" s="27" t="n">
        <f aca="false">'Dados completos'!AH154</f>
        <v>0.009928</v>
      </c>
      <c r="F155" s="28" t="str">
        <f aca="false">'Dados completos'!AI154</f>
        <v>Baixa</v>
      </c>
      <c r="G155" s="29" t="str">
        <f aca="false">'Dados completos'!B154</f>
        <v>Jefferies</v>
      </c>
      <c r="H155" s="30" t="str">
        <f aca="false">'Dados completos'!C154</f>
        <v>IB Off-Cycle Internship, Milão (Fev 2027)</v>
      </c>
      <c r="I155" s="30" t="str">
        <f aca="false">'Dados completos'!E154</f>
        <v>Banca de investimento / boutique</v>
      </c>
      <c r="J155" s="24" t="str">
        <f aca="false">'Dados completos'!F154</f>
        <v>Itália</v>
      </c>
      <c r="K155" s="30" t="str">
        <f aca="false">'Dados completos'!G154</f>
        <v>Milão</v>
      </c>
      <c r="L155" s="30" t="str">
        <f aca="false">'Dados completos'!H154</f>
        <v>Não indicado (provável presencial)</v>
      </c>
      <c r="M155" s="30" t="str">
        <f aca="false">'Dados completos'!I154</f>
        <v>Fev 2027</v>
      </c>
      <c r="N155" s="31" t="str">
        <f aca="false">'Dados completos'!O154</f>
        <v>Não indicado</v>
      </c>
      <c r="O155" s="28" t="str">
        <f aca="false">'Dados completos'!V154</f>
        <v>Muito alta</v>
      </c>
      <c r="P155" s="30" t="str">
        <f aca="false">IF('Dados completos'!R154="","n/d",IF('Dados completos'!R154='Dados completos'!S154,TEXT('Dados completos'!R154,"#,##0"),TEXT('Dados completos'!R154,"#,##0")&amp;", "&amp;TEXT('Dados completos'!S154,"#,##0")))</f>
        <v>800, 1,500</v>
      </c>
      <c r="Q155" s="30" t="str">
        <f aca="false">'Dados completos'!M154</f>
        <v>Italiano e inglês (ver oferta)</v>
      </c>
      <c r="R155" s="30" t="str">
        <f aca="false">'Dados completos'!AJ154</f>
        <v>Língua-chave IT (exigência 0.6); experiência prévia em finanças valorizada, CV tem pouca; exige mestrado em curso ou convenção de estágio, risco.</v>
      </c>
      <c r="S155" s="30" t="str">
        <f aca="false">'Dados completos'!AK154</f>
        <v>Por confirmar</v>
      </c>
      <c r="T155" s="24" t="str">
        <f aca="false">'Dados completos'!AP154</f>
        <v>Parcial (agregador/título)</v>
      </c>
      <c r="U155" s="30" t="str">
        <f aca="false">'Dados completos'!AO154</f>
        <v>Direto (site/ATS da empresa)</v>
      </c>
      <c r="V155" s="32" t="str">
        <f aca="false">HYPERLINK('Dados completos'!AN154,"Abrir")</f>
        <v>Abrir</v>
      </c>
    </row>
    <row r="156" customFormat="false" ht="45.75" hidden="false" customHeight="true" outlineLevel="0" collapsed="false">
      <c r="A156" s="24" t="n">
        <f aca="false">'Dados completos'!A22</f>
        <v>19</v>
      </c>
      <c r="B156" s="25" t="str">
        <f aca="false">'Dados completos'!AL22</f>
        <v>Reserva</v>
      </c>
      <c r="C156" s="24" t="n">
        <f aca="false">'Dados completos'!Y22</f>
        <v>2.8</v>
      </c>
      <c r="D156" s="26" t="n">
        <f aca="false">'Dados completos'!AF22</f>
        <v>49.1</v>
      </c>
      <c r="E156" s="27" t="n">
        <f aca="false">'Dados completos'!AH22</f>
        <v>0.009892</v>
      </c>
      <c r="F156" s="28" t="str">
        <f aca="false">'Dados completos'!AI22</f>
        <v>Baixa</v>
      </c>
      <c r="G156" s="29" t="str">
        <f aca="false">'Dados completos'!B22</f>
        <v>Ardian</v>
      </c>
      <c r="H156" s="30" t="str">
        <f aca="false">'Dados completos'!C22</f>
        <v>Infrastructure Intern (Luxemburgo)</v>
      </c>
      <c r="I156" s="30" t="str">
        <f aca="false">'Dados completos'!E22</f>
        <v>VC / private equity</v>
      </c>
      <c r="J156" s="24" t="str">
        <f aca="false">'Dados completos'!F22</f>
        <v>Luxemburgo</v>
      </c>
      <c r="K156" s="30" t="str">
        <f aca="false">'Dados completos'!G22</f>
        <v>Luxemburgo</v>
      </c>
      <c r="L156" s="30" t="str">
        <f aca="false">'Dados completos'!H22</f>
        <v>Não indicado (provável presencial)</v>
      </c>
      <c r="M156" s="30" t="str">
        <f aca="false">'Dados completos'!I22</f>
        <v>Q1 2027</v>
      </c>
      <c r="N156" s="31" t="str">
        <f aca="false">'Dados completos'!O22</f>
        <v>Não indicado</v>
      </c>
      <c r="O156" s="28" t="str">
        <f aca="false">'Dados completos'!V22</f>
        <v>Muito alta</v>
      </c>
      <c r="P156" s="30" t="str">
        <f aca="false">IF('Dados completos'!R22="","n/d",IF('Dados completos'!R22='Dados completos'!S22,TEXT('Dados completos'!R22,"#,##0"),TEXT('Dados completos'!R22,"#,##0")&amp;", "&amp;TEXT('Dados completos'!S22,"#,##0")))</f>
        <v>1,800, 2,500</v>
      </c>
      <c r="Q156" s="30" t="str">
        <f aca="false">'Dados completos'!M22</f>
        <v>Inglês; francês por confirmar</v>
      </c>
      <c r="R156" s="30" t="str">
        <f aca="false">'Dados completos'!AJ22</f>
        <v>Língua-chave FR (exigência 0.4); experiência prévia em finanças valorizada, CV tem pouca; exige mestrado em curso ou convenção de estágio, risco.</v>
      </c>
      <c r="S156" s="30" t="str">
        <f aca="false">'Dados completos'!AK22</f>
        <v>Por confirmar</v>
      </c>
      <c r="T156" s="24" t="str">
        <f aca="false">'Dados completos'!AP22</f>
        <v>Parcial (agregador/título)</v>
      </c>
      <c r="U156" s="30" t="str">
        <f aca="false">'Dados completos'!AO22</f>
        <v>Direto (site/ATS da empresa)</v>
      </c>
      <c r="V156" s="32" t="str">
        <f aca="false">HYPERLINK('Dados completos'!AN22,"Abrir")</f>
        <v>Abrir</v>
      </c>
    </row>
    <row r="157" customFormat="false" ht="45.75" hidden="false" customHeight="true" outlineLevel="0" collapsed="false">
      <c r="A157" s="24" t="n">
        <f aca="false">'Dados completos'!A55</f>
        <v>52</v>
      </c>
      <c r="B157" s="25" t="str">
        <f aca="false">'Dados completos'!AL55</f>
        <v>Reserva</v>
      </c>
      <c r="C157" s="24" t="n">
        <f aca="false">'Dados completos'!Y55</f>
        <v>2.9</v>
      </c>
      <c r="D157" s="26" t="n">
        <f aca="false">'Dados completos'!AF55</f>
        <v>48.1</v>
      </c>
      <c r="E157" s="27" t="n">
        <f aca="false">'Dados completos'!AH55</f>
        <v>0.009772</v>
      </c>
      <c r="F157" s="28" t="str">
        <f aca="false">'Dados completos'!AI55</f>
        <v>Baixa</v>
      </c>
      <c r="G157" s="29" t="str">
        <f aca="false">'Dados completos'!B55</f>
        <v>Ardian</v>
      </c>
      <c r="H157" s="30" t="str">
        <f aca="false">'Dados completos'!C55</f>
        <v>Real Estate Private Equity Intern, Nov 2026/Q1 2027 (Frankfurt)</v>
      </c>
      <c r="I157" s="30" t="str">
        <f aca="false">'Dados completos'!E55</f>
        <v>VC / private equity</v>
      </c>
      <c r="J157" s="24" t="str">
        <f aca="false">'Dados completos'!F55</f>
        <v>Alemanha</v>
      </c>
      <c r="K157" s="30" t="str">
        <f aca="false">'Dados completos'!G55</f>
        <v>Frankfurt</v>
      </c>
      <c r="L157" s="30" t="str">
        <f aca="false">'Dados completos'!H55</f>
        <v>Não indicado (provável presencial)</v>
      </c>
      <c r="M157" s="30" t="str">
        <f aca="false">'Dados completos'!I55</f>
        <v>Nov 2026, Q1 2027</v>
      </c>
      <c r="N157" s="31" t="str">
        <f aca="false">'Dados completos'!O55</f>
        <v>Não indicado</v>
      </c>
      <c r="O157" s="28" t="str">
        <f aca="false">'Dados completos'!V55</f>
        <v>Muito alta</v>
      </c>
      <c r="P157" s="30" t="str">
        <f aca="false">IF('Dados completos'!R55="","n/d",IF('Dados completos'!R55='Dados completos'!S55,TEXT('Dados completos'!R55,"#,##0"),TEXT('Dados completos'!R55,"#,##0")&amp;", "&amp;TEXT('Dados completos'!S55,"#,##0")))</f>
        <v>1,800, 2,800</v>
      </c>
      <c r="Q157" s="30" t="str">
        <f aca="false">'Dados completos'!M55</f>
        <v>Inglês (ver oferta)</v>
      </c>
      <c r="R157" s="30" t="str">
        <f aca="false">'Dados completos'!AJ55</f>
        <v>Língua-chave DE (exigência 0.4); experiência prévia em finanças valorizada, CV tem pouca; exige mestrado em curso ou convenção de estágio, risco.</v>
      </c>
      <c r="S157" s="30" t="str">
        <f aca="false">'Dados completos'!AK55</f>
        <v>Por confirmar</v>
      </c>
      <c r="T157" s="24" t="str">
        <f aca="false">'Dados completos'!AP55</f>
        <v>Parcial (agregador/título)</v>
      </c>
      <c r="U157" s="30" t="str">
        <f aca="false">'Dados completos'!AO55</f>
        <v>Direto (site/ATS da empresa)</v>
      </c>
      <c r="V157" s="32" t="str">
        <f aca="false">HYPERLINK('Dados completos'!AN55,"Abrir")</f>
        <v>Abrir</v>
      </c>
    </row>
    <row r="158" customFormat="false" ht="45.75" hidden="false" customHeight="true" outlineLevel="0" collapsed="false">
      <c r="A158" s="24" t="n">
        <f aca="false">'Dados completos'!A56</f>
        <v>53</v>
      </c>
      <c r="B158" s="25" t="str">
        <f aca="false">'Dados completos'!AL56</f>
        <v>Reserva</v>
      </c>
      <c r="C158" s="24" t="n">
        <f aca="false">'Dados completos'!Y56</f>
        <v>2.9</v>
      </c>
      <c r="D158" s="26" t="n">
        <f aca="false">'Dados completos'!AF56</f>
        <v>48.1</v>
      </c>
      <c r="E158" s="27" t="n">
        <f aca="false">'Dados completos'!AH56</f>
        <v>0.009772</v>
      </c>
      <c r="F158" s="28" t="str">
        <f aca="false">'Dados completos'!AI56</f>
        <v>Baixa</v>
      </c>
      <c r="G158" s="29" t="str">
        <f aca="false">'Dados completos'!B56</f>
        <v>Ardian</v>
      </c>
      <c r="H158" s="30" t="str">
        <f aca="false">'Dados completos'!C56</f>
        <v>Infrastructure Private Equity Analyst Internship, H1 2027 (Frankfurt)</v>
      </c>
      <c r="I158" s="30" t="str">
        <f aca="false">'Dados completos'!E56</f>
        <v>VC / private equity</v>
      </c>
      <c r="J158" s="24" t="str">
        <f aca="false">'Dados completos'!F56</f>
        <v>Alemanha</v>
      </c>
      <c r="K158" s="30" t="str">
        <f aca="false">'Dados completos'!G56</f>
        <v>Frankfurt</v>
      </c>
      <c r="L158" s="30" t="str">
        <f aca="false">'Dados completos'!H56</f>
        <v>Não indicado (provável presencial)</v>
      </c>
      <c r="M158" s="30" t="str">
        <f aca="false">'Dados completos'!I56</f>
        <v>H1 2027</v>
      </c>
      <c r="N158" s="31" t="str">
        <f aca="false">'Dados completos'!O56</f>
        <v>Não indicado</v>
      </c>
      <c r="O158" s="28" t="str">
        <f aca="false">'Dados completos'!V56</f>
        <v>Muito alta</v>
      </c>
      <c r="P158" s="30" t="str">
        <f aca="false">IF('Dados completos'!R56="","n/d",IF('Dados completos'!R56='Dados completos'!S56,TEXT('Dados completos'!R56,"#,##0"),TEXT('Dados completos'!R56,"#,##0")&amp;", "&amp;TEXT('Dados completos'!S56,"#,##0")))</f>
        <v>1,800, 2,800</v>
      </c>
      <c r="Q158" s="30" t="str">
        <f aca="false">'Dados completos'!M56</f>
        <v>Inglês (ver oferta)</v>
      </c>
      <c r="R158" s="30" t="str">
        <f aca="false">'Dados completos'!AJ56</f>
        <v>Língua-chave DE (exigência 0.4); experiência prévia em finanças valorizada, CV tem pouca; exige mestrado em curso ou convenção de estágio, risco.</v>
      </c>
      <c r="S158" s="30" t="str">
        <f aca="false">'Dados completos'!AK56</f>
        <v>Por confirmar</v>
      </c>
      <c r="T158" s="24" t="str">
        <f aca="false">'Dados completos'!AP56</f>
        <v>Parcial (agregador/título)</v>
      </c>
      <c r="U158" s="30" t="str">
        <f aca="false">'Dados completos'!AO56</f>
        <v>Anúncio em plataforma</v>
      </c>
      <c r="V158" s="32" t="str">
        <f aca="false">HYPERLINK('Dados completos'!AN56,"Abrir")</f>
        <v>Abrir</v>
      </c>
    </row>
    <row r="159" customFormat="false" ht="45.75" hidden="false" customHeight="true" outlineLevel="0" collapsed="false">
      <c r="A159" s="24" t="n">
        <f aca="false">'Dados completos'!A140</f>
        <v>137</v>
      </c>
      <c r="B159" s="25" t="str">
        <f aca="false">'Dados completos'!AL140</f>
        <v>Reserva</v>
      </c>
      <c r="C159" s="24" t="n">
        <f aca="false">'Dados completos'!Y140</f>
        <v>2.9</v>
      </c>
      <c r="D159" s="26" t="n">
        <f aca="false">'Dados completos'!AF140</f>
        <v>47.75</v>
      </c>
      <c r="E159" s="27" t="n">
        <f aca="false">'Dados completos'!AH140</f>
        <v>0.00973</v>
      </c>
      <c r="F159" s="28" t="str">
        <f aca="false">'Dados completos'!AI140</f>
        <v>Baixa</v>
      </c>
      <c r="G159" s="29" t="str">
        <f aca="false">'Dados completos'!B140</f>
        <v>Macquarie Group</v>
      </c>
      <c r="H159" s="30" t="str">
        <f aca="false">'Dados completos'!C140</f>
        <v>Off-Cycle Internship, M&amp;A Advisory, Jan e Mar 2027 (Paris)</v>
      </c>
      <c r="I159" s="30" t="str">
        <f aca="false">'Dados completos'!E140</f>
        <v>Banca de investimento</v>
      </c>
      <c r="J159" s="24" t="str">
        <f aca="false">'Dados completos'!F140</f>
        <v>França</v>
      </c>
      <c r="K159" s="30" t="str">
        <f aca="false">'Dados completos'!G140</f>
        <v>Paris</v>
      </c>
      <c r="L159" s="30" t="str">
        <f aca="false">'Dados completos'!H140</f>
        <v>Não indicado (provável presencial)</v>
      </c>
      <c r="M159" s="30" t="str">
        <f aca="false">'Dados completos'!I140</f>
        <v>Jan e Mar 2027</v>
      </c>
      <c r="N159" s="31" t="str">
        <f aca="false">'Dados completos'!O140</f>
        <v>Não indicado</v>
      </c>
      <c r="O159" s="28" t="str">
        <f aca="false">'Dados completos'!V140</f>
        <v>Muito alta</v>
      </c>
      <c r="P159" s="30" t="str">
        <f aca="false">IF('Dados completos'!R140="","n/d",IF('Dados completos'!R140='Dados completos'!S140,TEXT('Dados completos'!R140,"#,##0"),TEXT('Dados completos'!R140,"#,##0")&amp;", "&amp;TEXT('Dados completos'!S140,"#,##0")))</f>
        <v>1,500, 2,500</v>
      </c>
      <c r="Q159" s="30" t="str">
        <f aca="false">'Dados completos'!M140</f>
        <v>Francês e inglês (ver oferta)</v>
      </c>
      <c r="R159" s="30" t="str">
        <f aca="false">'Dados completos'!AJ140</f>
        <v>Língua-chave FR (exigência 0.5); experiência prévia em finanças valorizada, CV tem pouca; exige mestrado em curso ou convenção de estágio, risco.</v>
      </c>
      <c r="S159" s="30" t="str">
        <f aca="false">'Dados completos'!AK140</f>
        <v>Por confirmar</v>
      </c>
      <c r="T159" s="24" t="str">
        <f aca="false">'Dados completos'!AP140</f>
        <v>Parcial (agregador/título)</v>
      </c>
      <c r="U159" s="30" t="str">
        <f aca="false">'Dados completos'!AO140</f>
        <v>Anúncio em plataforma</v>
      </c>
      <c r="V159" s="32" t="str">
        <f aca="false">HYPERLINK('Dados completos'!AN140,"Abrir")</f>
        <v>Abrir</v>
      </c>
    </row>
    <row r="160" customFormat="false" ht="45.75" hidden="false" customHeight="true" outlineLevel="0" collapsed="false">
      <c r="A160" s="24" t="n">
        <f aca="false">'Dados completos'!A141</f>
        <v>138</v>
      </c>
      <c r="B160" s="25" t="str">
        <f aca="false">'Dados completos'!AL141</f>
        <v>Reserva</v>
      </c>
      <c r="C160" s="24" t="n">
        <f aca="false">'Dados completos'!Y141</f>
        <v>2.9</v>
      </c>
      <c r="D160" s="26" t="n">
        <f aca="false">'Dados completos'!AF141</f>
        <v>47.75</v>
      </c>
      <c r="E160" s="27" t="n">
        <f aca="false">'Dados completos'!AH141</f>
        <v>0.00973</v>
      </c>
      <c r="F160" s="28" t="str">
        <f aca="false">'Dados completos'!AI141</f>
        <v>Baixa</v>
      </c>
      <c r="G160" s="29" t="str">
        <f aca="false">'Dados completos'!B141</f>
        <v>Macquarie Group</v>
      </c>
      <c r="H160" s="30" t="str">
        <f aca="false">'Dados completos'!C141</f>
        <v>2027 Off-Cycle Internship, Infrastructure Real Assets (Paris)</v>
      </c>
      <c r="I160" s="30" t="str">
        <f aca="false">'Dados completos'!E141</f>
        <v>Banca de investimento</v>
      </c>
      <c r="J160" s="24" t="str">
        <f aca="false">'Dados completos'!F141</f>
        <v>França</v>
      </c>
      <c r="K160" s="30" t="str">
        <f aca="false">'Dados completos'!G141</f>
        <v>Paris</v>
      </c>
      <c r="L160" s="30" t="str">
        <f aca="false">'Dados completos'!H141</f>
        <v>Não indicado (provável presencial)</v>
      </c>
      <c r="M160" s="30" t="str">
        <f aca="false">'Dados completos'!I141</f>
        <v>2027 (mês por confirmar)</v>
      </c>
      <c r="N160" s="31" t="str">
        <f aca="false">'Dados completos'!O141</f>
        <v>Não indicado</v>
      </c>
      <c r="O160" s="28" t="str">
        <f aca="false">'Dados completos'!V141</f>
        <v>Muito alta</v>
      </c>
      <c r="P160" s="30" t="str">
        <f aca="false">IF('Dados completos'!R141="","n/d",IF('Dados completos'!R141='Dados completos'!S141,TEXT('Dados completos'!R141,"#,##0"),TEXT('Dados completos'!R141,"#,##0")&amp;", "&amp;TEXT('Dados completos'!S141,"#,##0")))</f>
        <v>1,500, 2,500</v>
      </c>
      <c r="Q160" s="30" t="str">
        <f aca="false">'Dados completos'!M141</f>
        <v>Francês e inglês (ver oferta)</v>
      </c>
      <c r="R160" s="30" t="str">
        <f aca="false">'Dados completos'!AJ141</f>
        <v>Língua-chave FR (exigência 0.5); experiência prévia em finanças valorizada, CV tem pouca; exige mestrado em curso ou convenção de estágio, risco.</v>
      </c>
      <c r="S160" s="30" t="str">
        <f aca="false">'Dados completos'!AK141</f>
        <v>Por confirmar</v>
      </c>
      <c r="T160" s="24" t="str">
        <f aca="false">'Dados completos'!AP141</f>
        <v>Parcial (agregador/título)</v>
      </c>
      <c r="U160" s="30" t="str">
        <f aca="false">'Dados completos'!AO141</f>
        <v>Anúncio em plataforma</v>
      </c>
      <c r="V160" s="32" t="str">
        <f aca="false">HYPERLINK('Dados completos'!AN141,"Abrir")</f>
        <v>Abrir</v>
      </c>
    </row>
    <row r="161" customFormat="false" ht="45.75" hidden="false" customHeight="true" outlineLevel="0" collapsed="false">
      <c r="A161" s="24" t="n">
        <f aca="false">'Dados completos'!A113</f>
        <v>110</v>
      </c>
      <c r="B161" s="25" t="str">
        <f aca="false">'Dados completos'!AL113</f>
        <v>Reserva</v>
      </c>
      <c r="C161" s="24" t="n">
        <f aca="false">'Dados completos'!Y113</f>
        <v>2.9</v>
      </c>
      <c r="D161" s="26" t="n">
        <f aca="false">'Dados completos'!AF113</f>
        <v>47.6</v>
      </c>
      <c r="E161" s="27" t="n">
        <f aca="false">'Dados completos'!AH113</f>
        <v>0.009712</v>
      </c>
      <c r="F161" s="28" t="str">
        <f aca="false">'Dados completos'!AI113</f>
        <v>Baixa</v>
      </c>
      <c r="G161" s="29" t="str">
        <f aca="false">'Dados completos'!B113</f>
        <v>Goldman Sachs</v>
      </c>
      <c r="H161" s="30" t="str">
        <f aca="false">'Dados completos'!C113</f>
        <v>2027 Investment Banking, Capital Solutions Group, Seasonal/Off-Cycle</v>
      </c>
      <c r="I161" s="30" t="str">
        <f aca="false">'Dados completos'!E113</f>
        <v>Banca de investimento</v>
      </c>
      <c r="J161" s="24" t="str">
        <f aca="false">'Dados completos'!F113</f>
        <v>Alemanha</v>
      </c>
      <c r="K161" s="30" t="str">
        <f aca="false">'Dados completos'!G113</f>
        <v>Frankfurt</v>
      </c>
      <c r="L161" s="30" t="str">
        <f aca="false">'Dados completos'!H113</f>
        <v>Não indicado (provável presencial)</v>
      </c>
      <c r="M161" s="30" t="str">
        <f aca="false">'Dados completos'!I113</f>
        <v>2027 (mês por confirmar)</v>
      </c>
      <c r="N161" s="31" t="str">
        <f aca="false">'Dados completos'!O113</f>
        <v>Não indicado</v>
      </c>
      <c r="O161" s="28" t="str">
        <f aca="false">'Dados completos'!V113</f>
        <v>Muito alta</v>
      </c>
      <c r="P161" s="30" t="str">
        <f aca="false">IF('Dados completos'!R113="","n/d",IF('Dados completos'!R113='Dados completos'!S113,TEXT('Dados completos'!R113,"#,##0"),TEXT('Dados completos'!R113,"#,##0")&amp;", "&amp;TEXT('Dados completos'!S113,"#,##0")))</f>
        <v>1,800, 2,800</v>
      </c>
      <c r="Q161" s="30" t="str">
        <f aca="false">'Dados completos'!M113</f>
        <v>Inglês (ver oferta)</v>
      </c>
      <c r="R161" s="30" t="str">
        <f aca="false">'Dados completos'!AJ113</f>
        <v>Língua-chave DE (exigência 0.4); pede experiência prévia em IB/PE/consultoria, o CV mostrado não tem; exige mestrado em curso ou convenção de estágio, risco.</v>
      </c>
      <c r="S161" s="30" t="str">
        <f aca="false">'Dados completos'!AK113</f>
        <v>Por confirmar</v>
      </c>
      <c r="T161" s="24" t="str">
        <f aca="false">'Dados completos'!AP113</f>
        <v>Parcial (agregador/título)</v>
      </c>
      <c r="U161" s="30" t="str">
        <f aca="false">'Dados completos'!AO113</f>
        <v>Direto (site/ATS da empresa)</v>
      </c>
      <c r="V161" s="32" t="str">
        <f aca="false">HYPERLINK('Dados completos'!AN113,"Abrir")</f>
        <v>Abrir</v>
      </c>
    </row>
    <row r="162" customFormat="false" ht="45.75" hidden="false" customHeight="true" outlineLevel="0" collapsed="false">
      <c r="A162" s="24" t="n">
        <f aca="false">'Dados completos'!A116</f>
        <v>113</v>
      </c>
      <c r="B162" s="25" t="str">
        <f aca="false">'Dados completos'!AL116</f>
        <v>Reserva</v>
      </c>
      <c r="C162" s="24" t="n">
        <f aca="false">'Dados completos'!Y116</f>
        <v>2.9</v>
      </c>
      <c r="D162" s="26" t="n">
        <f aca="false">'Dados completos'!AF116</f>
        <v>47.6</v>
      </c>
      <c r="E162" s="27" t="n">
        <f aca="false">'Dados completos'!AH116</f>
        <v>0.009712</v>
      </c>
      <c r="F162" s="28" t="str">
        <f aca="false">'Dados completos'!AI116</f>
        <v>Baixa</v>
      </c>
      <c r="G162" s="29" t="str">
        <f aca="false">'Dados completos'!B116</f>
        <v>Goldman Sachs</v>
      </c>
      <c r="H162" s="30" t="str">
        <f aca="false">'Dados completos'!C116</f>
        <v>2027 Investment Banking, Classic, Seasonal/Off-Cycle</v>
      </c>
      <c r="I162" s="30" t="str">
        <f aca="false">'Dados completos'!E116</f>
        <v>Banca de investimento</v>
      </c>
      <c r="J162" s="24" t="str">
        <f aca="false">'Dados completos'!F116</f>
        <v>Alemanha</v>
      </c>
      <c r="K162" s="30" t="str">
        <f aca="false">'Dados completos'!G116</f>
        <v>Munique</v>
      </c>
      <c r="L162" s="30" t="str">
        <f aca="false">'Dados completos'!H116</f>
        <v>Não indicado (provável presencial)</v>
      </c>
      <c r="M162" s="30" t="str">
        <f aca="false">'Dados completos'!I116</f>
        <v>2027 (mês por confirmar)</v>
      </c>
      <c r="N162" s="31" t="str">
        <f aca="false">'Dados completos'!O116</f>
        <v>Não indicado</v>
      </c>
      <c r="O162" s="28" t="str">
        <f aca="false">'Dados completos'!V116</f>
        <v>Muito alta</v>
      </c>
      <c r="P162" s="30" t="str">
        <f aca="false">IF('Dados completos'!R116="","n/d",IF('Dados completos'!R116='Dados completos'!S116,TEXT('Dados completos'!R116,"#,##0"),TEXT('Dados completos'!R116,"#,##0")&amp;", "&amp;TEXT('Dados completos'!S116,"#,##0")))</f>
        <v>1,800, 2,800</v>
      </c>
      <c r="Q162" s="30" t="str">
        <f aca="false">'Dados completos'!M116</f>
        <v>Inglês (ver oferta)</v>
      </c>
      <c r="R162" s="30" t="str">
        <f aca="false">'Dados completos'!AJ116</f>
        <v>Língua-chave DE (exigência 0.4); pede experiência prévia em IB/PE/consultoria, o CV mostrado não tem; exige mestrado em curso ou convenção de estágio, risco.</v>
      </c>
      <c r="S162" s="30" t="str">
        <f aca="false">'Dados completos'!AK116</f>
        <v>Por confirmar</v>
      </c>
      <c r="T162" s="24" t="str">
        <f aca="false">'Dados completos'!AP116</f>
        <v>Parcial (agregador/título)</v>
      </c>
      <c r="U162" s="30" t="str">
        <f aca="false">'Dados completos'!AO116</f>
        <v>Direto (site/ATS da empresa)</v>
      </c>
      <c r="V162" s="32" t="str">
        <f aca="false">HYPERLINK('Dados completos'!AN116,"Abrir")</f>
        <v>Abrir</v>
      </c>
    </row>
    <row r="163" customFormat="false" ht="45.75" hidden="false" customHeight="true" outlineLevel="0" collapsed="false">
      <c r="A163" s="24" t="n">
        <f aca="false">'Dados completos'!A156</f>
        <v>153</v>
      </c>
      <c r="B163" s="25" t="str">
        <f aca="false">'Dados completos'!AL156</f>
        <v>Reserva</v>
      </c>
      <c r="C163" s="24" t="n">
        <f aca="false">'Dados completos'!Y156</f>
        <v>2.9</v>
      </c>
      <c r="D163" s="26" t="n">
        <f aca="false">'Dados completos'!AF156</f>
        <v>47.6</v>
      </c>
      <c r="E163" s="27" t="n">
        <f aca="false">'Dados completos'!AH156</f>
        <v>0.009712</v>
      </c>
      <c r="F163" s="28" t="str">
        <f aca="false">'Dados completos'!AI156</f>
        <v>Baixa</v>
      </c>
      <c r="G163" s="29" t="str">
        <f aca="false">'Dados completos'!B156</f>
        <v>KKR</v>
      </c>
      <c r="H163" s="30" t="str">
        <f aca="false">'Dados completos'!C156</f>
        <v>2027 Off-Cycle Intern, Global Client Solutions (Frankfurt)</v>
      </c>
      <c r="I163" s="30" t="str">
        <f aca="false">'Dados completos'!E156</f>
        <v>VC / private equity</v>
      </c>
      <c r="J163" s="24" t="str">
        <f aca="false">'Dados completos'!F156</f>
        <v>Alemanha</v>
      </c>
      <c r="K163" s="30" t="str">
        <f aca="false">'Dados completos'!G156</f>
        <v>Frankfurt</v>
      </c>
      <c r="L163" s="30" t="str">
        <f aca="false">'Dados completos'!H156</f>
        <v>Não indicado (provável presencial)</v>
      </c>
      <c r="M163" s="30" t="str">
        <f aca="false">'Dados completos'!I156</f>
        <v>2027 (mês por confirmar)</v>
      </c>
      <c r="N163" s="31" t="str">
        <f aca="false">'Dados completos'!O156</f>
        <v>Não indicado</v>
      </c>
      <c r="O163" s="28" t="str">
        <f aca="false">'Dados completos'!V156</f>
        <v>Muito alta</v>
      </c>
      <c r="P163" s="30" t="str">
        <f aca="false">IF('Dados completos'!R156="","n/d",IF('Dados completos'!R156='Dados completos'!S156,TEXT('Dados completos'!R156,"#,##0"),TEXT('Dados completos'!R156,"#,##0")&amp;", "&amp;TEXT('Dados completos'!S156,"#,##0")))</f>
        <v>1,800, 2,800</v>
      </c>
      <c r="Q163" s="30" t="str">
        <f aca="false">'Dados completos'!M156</f>
        <v>Inglês (ver oferta)</v>
      </c>
      <c r="R163" s="30" t="str">
        <f aca="false">'Dados completos'!AJ156</f>
        <v>Língua-chave DE (exigência 0.4); pede experiência prévia em IB/PE/consultoria, o CV mostrado não tem; exige mestrado em curso ou convenção de estágio, risco.</v>
      </c>
      <c r="S163" s="30" t="str">
        <f aca="false">'Dados completos'!AK156</f>
        <v>Por confirmar</v>
      </c>
      <c r="T163" s="24" t="str">
        <f aca="false">'Dados completos'!AP156</f>
        <v>Parcial (agregador/título)</v>
      </c>
      <c r="U163" s="30" t="str">
        <f aca="false">'Dados completos'!AO156</f>
        <v>Página de carreiras (procurar a vaga)</v>
      </c>
      <c r="V163" s="32" t="str">
        <f aca="false">HYPERLINK('Dados completos'!AN156,"Abrir")</f>
        <v>Abrir</v>
      </c>
    </row>
    <row r="164" customFormat="false" ht="45.75" hidden="false" customHeight="true" outlineLevel="0" collapsed="false">
      <c r="A164" s="24" t="n">
        <f aca="false">'Dados completos'!A127</f>
        <v>124</v>
      </c>
      <c r="B164" s="25" t="str">
        <f aca="false">'Dados completos'!AL127</f>
        <v>Reserva</v>
      </c>
      <c r="C164" s="24" t="n">
        <f aca="false">'Dados completos'!Y127</f>
        <v>2.9</v>
      </c>
      <c r="D164" s="26" t="n">
        <f aca="false">'Dados completos'!AF127</f>
        <v>47</v>
      </c>
      <c r="E164" s="27" t="n">
        <f aca="false">'Dados completos'!AH127</f>
        <v>0.00964</v>
      </c>
      <c r="F164" s="28" t="str">
        <f aca="false">'Dados completos'!AI127</f>
        <v>Baixa</v>
      </c>
      <c r="G164" s="29" t="str">
        <f aca="false">'Dados completos'!B127</f>
        <v>Houlihan Lokey</v>
      </c>
      <c r="H164" s="30" t="str">
        <f aca="false">'Dados completos'!C127</f>
        <v>3-Month Off-Cycle Internship, Corporate Finance (Amesterdão)</v>
      </c>
      <c r="I164" s="30" t="str">
        <f aca="false">'Dados completos'!E127</f>
        <v>Banca de investimento / boutique</v>
      </c>
      <c r="J164" s="24" t="str">
        <f aca="false">'Dados completos'!F127</f>
        <v>Países Baixos</v>
      </c>
      <c r="K164" s="30" t="str">
        <f aca="false">'Dados completos'!G127</f>
        <v>Amesterdão</v>
      </c>
      <c r="L164" s="30" t="str">
        <f aca="false">'Dados completos'!H127</f>
        <v>Não indicado (provável presencial)</v>
      </c>
      <c r="M164" s="30" t="str">
        <f aca="false">'Dados completos'!I127</f>
        <v>Por confirmar</v>
      </c>
      <c r="N164" s="31" t="str">
        <f aca="false">'Dados completos'!O127</f>
        <v>Não indicado</v>
      </c>
      <c r="O164" s="28" t="str">
        <f aca="false">'Dados completos'!V127</f>
        <v>Muito alta</v>
      </c>
      <c r="P164" s="30" t="str">
        <f aca="false">IF('Dados completos'!R127="","n/d",IF('Dados completos'!R127='Dados completos'!S127,TEXT('Dados completos'!R127,"#,##0"),TEXT('Dados completos'!R127,"#,##0")&amp;", "&amp;TEXT('Dados completos'!S127,"#,##0")))</f>
        <v>1,800, 2,500</v>
      </c>
      <c r="Q164" s="30" t="str">
        <f aca="false">'Dados completos'!M127</f>
        <v>Neerlandês e inglês (ver oferta)</v>
      </c>
      <c r="R164" s="30" t="str">
        <f aca="false">'Dados completos'!AJ127</f>
        <v>Língua-chave NL (exigência 0.5); experiência prévia em finanças valorizada, CV tem pouca; exige mestrado em curso ou convenção de estágio, risco.</v>
      </c>
      <c r="S164" s="30" t="str">
        <f aca="false">'Dados completos'!AK127</f>
        <v>Por confirmar</v>
      </c>
      <c r="T164" s="24" t="str">
        <f aca="false">'Dados completos'!AP127</f>
        <v>Parcial (agregador/título)</v>
      </c>
      <c r="U164" s="30" t="str">
        <f aca="false">'Dados completos'!AO127</f>
        <v>Direto (site/ATS da empresa)</v>
      </c>
      <c r="V164" s="32" t="str">
        <f aca="false">HYPERLINK('Dados completos'!AN127,"Abrir")</f>
        <v>Abrir</v>
      </c>
    </row>
    <row r="165" customFormat="false" ht="45.75" hidden="false" customHeight="true" outlineLevel="0" collapsed="false">
      <c r="A165" s="24" t="n">
        <f aca="false">'Dados completos'!A114</f>
        <v>111</v>
      </c>
      <c r="B165" s="25" t="str">
        <f aca="false">'Dados completos'!AL114</f>
        <v>Reserva</v>
      </c>
      <c r="C165" s="24" t="n">
        <f aca="false">'Dados completos'!Y114</f>
        <v>2.9</v>
      </c>
      <c r="D165" s="26" t="n">
        <f aca="false">'Dados completos'!AF114</f>
        <v>46.4</v>
      </c>
      <c r="E165" s="27" t="n">
        <f aca="false">'Dados completos'!AH114</f>
        <v>0.009568</v>
      </c>
      <c r="F165" s="28" t="str">
        <f aca="false">'Dados completos'!AI114</f>
        <v>Baixa</v>
      </c>
      <c r="G165" s="29" t="str">
        <f aca="false">'Dados completos'!B114</f>
        <v>Goldman Sachs</v>
      </c>
      <c r="H165" s="30" t="str">
        <f aca="false">'Dados completos'!C114</f>
        <v>2027 Investment Banking, Capital Solutions Group, Seasonal/Off-Cycle</v>
      </c>
      <c r="I165" s="30" t="str">
        <f aca="false">'Dados completos'!E114</f>
        <v>Banca de investimento</v>
      </c>
      <c r="J165" s="24" t="str">
        <f aca="false">'Dados completos'!F114</f>
        <v>Itália</v>
      </c>
      <c r="K165" s="30" t="str">
        <f aca="false">'Dados completos'!G114</f>
        <v>Milão</v>
      </c>
      <c r="L165" s="30" t="str">
        <f aca="false">'Dados completos'!H114</f>
        <v>Não indicado (provável presencial)</v>
      </c>
      <c r="M165" s="30" t="str">
        <f aca="false">'Dados completos'!I114</f>
        <v>2027 (mês por confirmar)</v>
      </c>
      <c r="N165" s="31" t="str">
        <f aca="false">'Dados completos'!O114</f>
        <v>Não indicado</v>
      </c>
      <c r="O165" s="28" t="str">
        <f aca="false">'Dados completos'!V114</f>
        <v>Muito alta</v>
      </c>
      <c r="P165" s="30" t="str">
        <f aca="false">IF('Dados completos'!R114="","n/d",IF('Dados completos'!R114='Dados completos'!S114,TEXT('Dados completos'!R114,"#,##0"),TEXT('Dados completos'!R114,"#,##0")&amp;", "&amp;TEXT('Dados completos'!S114,"#,##0")))</f>
        <v>800, 1,500</v>
      </c>
      <c r="Q165" s="30" t="str">
        <f aca="false">'Dados completos'!M114</f>
        <v>Italiano e inglês (ver oferta)</v>
      </c>
      <c r="R165" s="30" t="str">
        <f aca="false">'Dados completos'!AJ114</f>
        <v>Língua-chave IT (exigência 0.6); pede experiência prévia em IB/PE/consultoria, o CV mostrado não tem; exige mestrado em curso ou convenção de estágio, risco.</v>
      </c>
      <c r="S165" s="30" t="str">
        <f aca="false">'Dados completos'!AK114</f>
        <v>Por confirmar</v>
      </c>
      <c r="T165" s="24" t="str">
        <f aca="false">'Dados completos'!AP114</f>
        <v>Parcial (agregador/título)</v>
      </c>
      <c r="U165" s="30" t="str">
        <f aca="false">'Dados completos'!AO114</f>
        <v>Direto (site/ATS da empresa)</v>
      </c>
      <c r="V165" s="32" t="str">
        <f aca="false">HYPERLINK('Dados completos'!AN114,"Abrir")</f>
        <v>Abrir</v>
      </c>
    </row>
    <row r="166" customFormat="false" ht="45.75" hidden="false" customHeight="true" outlineLevel="0" collapsed="false">
      <c r="A166" s="24" t="n">
        <f aca="false">'Dados completos'!A115</f>
        <v>112</v>
      </c>
      <c r="B166" s="25" t="str">
        <f aca="false">'Dados completos'!AL115</f>
        <v>Reserva</v>
      </c>
      <c r="C166" s="24" t="n">
        <f aca="false">'Dados completos'!Y115</f>
        <v>2.9</v>
      </c>
      <c r="D166" s="26" t="n">
        <f aca="false">'Dados completos'!AF115</f>
        <v>46.4</v>
      </c>
      <c r="E166" s="27" t="n">
        <f aca="false">'Dados completos'!AH115</f>
        <v>0.009568</v>
      </c>
      <c r="F166" s="28" t="str">
        <f aca="false">'Dados completos'!AI115</f>
        <v>Baixa</v>
      </c>
      <c r="G166" s="29" t="str">
        <f aca="false">'Dados completos'!B115</f>
        <v>Goldman Sachs</v>
      </c>
      <c r="H166" s="30" t="str">
        <f aca="false">'Dados completos'!C115</f>
        <v>2027 Investment Banking, Classic, Seasonal/Off-Cycle</v>
      </c>
      <c r="I166" s="30" t="str">
        <f aca="false">'Dados completos'!E115</f>
        <v>Banca de investimento</v>
      </c>
      <c r="J166" s="24" t="str">
        <f aca="false">'Dados completos'!F115</f>
        <v>Itália</v>
      </c>
      <c r="K166" s="30" t="str">
        <f aca="false">'Dados completos'!G115</f>
        <v>Milão</v>
      </c>
      <c r="L166" s="30" t="str">
        <f aca="false">'Dados completos'!H115</f>
        <v>Não indicado (provável presencial)</v>
      </c>
      <c r="M166" s="30" t="str">
        <f aca="false">'Dados completos'!I115</f>
        <v>2027 (mês por confirmar)</v>
      </c>
      <c r="N166" s="31" t="str">
        <f aca="false">'Dados completos'!O115</f>
        <v>Não indicado</v>
      </c>
      <c r="O166" s="28" t="str">
        <f aca="false">'Dados completos'!V115</f>
        <v>Muito alta</v>
      </c>
      <c r="P166" s="30" t="str">
        <f aca="false">IF('Dados completos'!R115="","n/d",IF('Dados completos'!R115='Dados completos'!S115,TEXT('Dados completos'!R115,"#,##0"),TEXT('Dados completos'!R115,"#,##0")&amp;", "&amp;TEXT('Dados completos'!S115,"#,##0")))</f>
        <v>800, 1,500</v>
      </c>
      <c r="Q166" s="30" t="str">
        <f aca="false">'Dados completos'!M115</f>
        <v>Italiano e inglês (ver oferta)</v>
      </c>
      <c r="R166" s="30" t="str">
        <f aca="false">'Dados completos'!AJ115</f>
        <v>Língua-chave IT (exigência 0.6); pede experiência prévia em IB/PE/consultoria, o CV mostrado não tem; exige mestrado em curso ou convenção de estágio, risco.</v>
      </c>
      <c r="S166" s="30" t="str">
        <f aca="false">'Dados completos'!AK115</f>
        <v>Por confirmar</v>
      </c>
      <c r="T166" s="24" t="str">
        <f aca="false">'Dados completos'!AP115</f>
        <v>Parcial (agregador/título)</v>
      </c>
      <c r="U166" s="30" t="str">
        <f aca="false">'Dados completos'!AO115</f>
        <v>Direto (site/ATS da empresa)</v>
      </c>
      <c r="V166" s="32" t="str">
        <f aca="false">HYPERLINK('Dados completos'!AN115,"Abrir")</f>
        <v>Abrir</v>
      </c>
    </row>
    <row r="167" customFormat="false" ht="45.75" hidden="false" customHeight="true" outlineLevel="0" collapsed="false">
      <c r="A167" s="24" t="n">
        <f aca="false">'Dados completos'!A121</f>
        <v>118</v>
      </c>
      <c r="B167" s="25" t="str">
        <f aca="false">'Dados completos'!AL121</f>
        <v>Reserva</v>
      </c>
      <c r="C167" s="24" t="n">
        <f aca="false">'Dados completos'!Y121</f>
        <v>2.9</v>
      </c>
      <c r="D167" s="26" t="n">
        <f aca="false">'Dados completos'!AF121</f>
        <v>46.4</v>
      </c>
      <c r="E167" s="27" t="n">
        <f aca="false">'Dados completos'!AH121</f>
        <v>0.009568</v>
      </c>
      <c r="F167" s="28" t="str">
        <f aca="false">'Dados completos'!AI121</f>
        <v>Baixa</v>
      </c>
      <c r="G167" s="29" t="str">
        <f aca="false">'Dados completos'!B121</f>
        <v>Goldman Sachs</v>
      </c>
      <c r="H167" s="30" t="str">
        <f aca="false">'Dados completos'!C121</f>
        <v>2027 Investment Banking, Classic, Seasonal/Off-Cycle</v>
      </c>
      <c r="I167" s="30" t="str">
        <f aca="false">'Dados completos'!E121</f>
        <v>Banca de investimento</v>
      </c>
      <c r="J167" s="24" t="str">
        <f aca="false">'Dados completos'!F121</f>
        <v>Espanha</v>
      </c>
      <c r="K167" s="30" t="str">
        <f aca="false">'Dados completos'!G121</f>
        <v>Madrid</v>
      </c>
      <c r="L167" s="30" t="str">
        <f aca="false">'Dados completos'!H121</f>
        <v>Não indicado (provável presencial)</v>
      </c>
      <c r="M167" s="30" t="str">
        <f aca="false">'Dados completos'!I121</f>
        <v>2027 (mês por confirmar)</v>
      </c>
      <c r="N167" s="31" t="str">
        <f aca="false">'Dados completos'!O121</f>
        <v>Não indicado</v>
      </c>
      <c r="O167" s="28" t="str">
        <f aca="false">'Dados completos'!V121</f>
        <v>Muito alta</v>
      </c>
      <c r="P167" s="30" t="str">
        <f aca="false">IF('Dados completos'!R121="","n/d",IF('Dados completos'!R121='Dados completos'!S121,TEXT('Dados completos'!R121,"#,##0"),TEXT('Dados completos'!R121,"#,##0")&amp;", "&amp;TEXT('Dados completos'!S121,"#,##0")))</f>
        <v>1,000, 1,800</v>
      </c>
      <c r="Q167" s="30" t="str">
        <f aca="false">'Dados completos'!M121</f>
        <v>Espanhol e inglês (ver oferta)</v>
      </c>
      <c r="R167" s="30" t="str">
        <f aca="false">'Dados completos'!AJ121</f>
        <v>Língua-chave ES (exigência 0.6); pede experiência prévia em IB/PE/consultoria, o CV mostrado não tem; exige mestrado em curso ou convenção de estágio, risco.</v>
      </c>
      <c r="S167" s="30" t="str">
        <f aca="false">'Dados completos'!AK121</f>
        <v>Por confirmar</v>
      </c>
      <c r="T167" s="24" t="str">
        <f aca="false">'Dados completos'!AP121</f>
        <v>Parcial (agregador/título)</v>
      </c>
      <c r="U167" s="30" t="str">
        <f aca="false">'Dados completos'!AO121</f>
        <v>Direto (site/ATS da empresa)</v>
      </c>
      <c r="V167" s="32" t="str">
        <f aca="false">HYPERLINK('Dados completos'!AN121,"Abrir")</f>
        <v>Abrir</v>
      </c>
    </row>
    <row r="168" customFormat="false" ht="45.75" hidden="false" customHeight="true" outlineLevel="0" collapsed="false">
      <c r="A168" s="24" t="n">
        <f aca="false">'Dados completos'!A18</f>
        <v>15</v>
      </c>
      <c r="B168" s="25" t="str">
        <f aca="false">'Dados completos'!AL18</f>
        <v>Candidatar (reach)</v>
      </c>
      <c r="C168" s="24" t="n">
        <f aca="false">'Dados completos'!Y18</f>
        <v>3.4</v>
      </c>
      <c r="D168" s="26" t="n">
        <f aca="false">'Dados completos'!AF18</f>
        <v>30</v>
      </c>
      <c r="E168" s="27" t="n">
        <f aca="false">'Dados completos'!AH18</f>
        <v>0.0076</v>
      </c>
      <c r="F168" s="28" t="str">
        <f aca="false">'Dados completos'!AI18</f>
        <v>Baixa</v>
      </c>
      <c r="G168" s="29" t="str">
        <f aca="false">'Dados completos'!B18</f>
        <v>Ardian</v>
      </c>
      <c r="H168" s="30" t="str">
        <f aca="false">'Dados completos'!C18</f>
        <v>Private Equity Buyout Stage, Janvier 2027</v>
      </c>
      <c r="I168" s="30" t="str">
        <f aca="false">'Dados completos'!E18</f>
        <v>VC / private equity</v>
      </c>
      <c r="J168" s="24" t="str">
        <f aca="false">'Dados completos'!F18</f>
        <v>França</v>
      </c>
      <c r="K168" s="30" t="str">
        <f aca="false">'Dados completos'!G18</f>
        <v>Paris</v>
      </c>
      <c r="L168" s="30" t="str">
        <f aca="false">'Dados completos'!H18</f>
        <v>Não indicado (provável presencial)</v>
      </c>
      <c r="M168" s="30" t="str">
        <f aca="false">'Dados completos'!I18</f>
        <v>Jan 2027</v>
      </c>
      <c r="N168" s="31" t="str">
        <f aca="false">'Dados completos'!O18</f>
        <v>Não indicado (publicada 05-08-2026)</v>
      </c>
      <c r="O168" s="28" t="str">
        <f aca="false">'Dados completos'!V18</f>
        <v>Muito alta</v>
      </c>
      <c r="P168" s="30" t="str">
        <f aca="false">IF('Dados completos'!R18="","n/d",IF('Dados completos'!R18='Dados completos'!S18,TEXT('Dados completos'!R18,"#,##0"),TEXT('Dados completos'!R18,"#,##0")&amp;", "&amp;TEXT('Dados completos'!S18,"#,##0")))</f>
        <v>1,500, 2,500</v>
      </c>
      <c r="Q168" s="30" t="str">
        <f aca="false">'Dados completos'!M18</f>
        <v>Inglês e francês fluentes (essencial)</v>
      </c>
      <c r="R168" s="30" t="str">
        <f aca="false">'Dados completos'!AJ18</f>
        <v>Língua-chave FR (exigência 1); experiência prévia em finanças valorizada, CV tem pouca; exige mestrado em curso ou convenção de estágio, risco.</v>
      </c>
      <c r="S168" s="30" t="str">
        <f aca="false">'Dados completos'!AK18</f>
        <v>Aberta (prazo não indicado)</v>
      </c>
      <c r="T168" s="24" t="str">
        <f aca="false">'Dados completos'!AP18</f>
        <v>Verificada na página</v>
      </c>
      <c r="U168" s="30" t="str">
        <f aca="false">'Dados completos'!AO18</f>
        <v>Anúncio em plataforma</v>
      </c>
      <c r="V168" s="32" t="str">
        <f aca="false">HYPERLINK('Dados completos'!AN18,"Abrir")</f>
        <v>Abrir</v>
      </c>
    </row>
    <row r="169" customFormat="false" ht="45.75" hidden="false" customHeight="true" outlineLevel="0" collapsed="false">
      <c r="A169" s="24" t="n">
        <f aca="false">'Dados completos'!A41</f>
        <v>38</v>
      </c>
      <c r="B169" s="25" t="str">
        <f aca="false">'Dados completos'!AL41</f>
        <v>Candidatar (reach)</v>
      </c>
      <c r="C169" s="24" t="n">
        <f aca="false">'Dados completos'!Y41</f>
        <v>3.4</v>
      </c>
      <c r="D169" s="26" t="n">
        <f aca="false">'Dados completos'!AF41</f>
        <v>30</v>
      </c>
      <c r="E169" s="27" t="n">
        <f aca="false">'Dados completos'!AH41</f>
        <v>0.0076</v>
      </c>
      <c r="F169" s="28" t="str">
        <f aca="false">'Dados completos'!AI41</f>
        <v>Baixa</v>
      </c>
      <c r="G169" s="29" t="str">
        <f aca="false">'Dados completos'!B41</f>
        <v>Ardian</v>
      </c>
      <c r="H169" s="30" t="str">
        <f aca="false">'Dados completos'!C41</f>
        <v>Private Equity Buyout Stage, Mars 2027</v>
      </c>
      <c r="I169" s="30" t="str">
        <f aca="false">'Dados completos'!E41</f>
        <v>VC / private equity</v>
      </c>
      <c r="J169" s="24" t="str">
        <f aca="false">'Dados completos'!F41</f>
        <v>França</v>
      </c>
      <c r="K169" s="30" t="str">
        <f aca="false">'Dados completos'!G41</f>
        <v>Paris</v>
      </c>
      <c r="L169" s="30" t="str">
        <f aca="false">'Dados completos'!H41</f>
        <v>Não indicado (provável presencial)</v>
      </c>
      <c r="M169" s="30" t="str">
        <f aca="false">'Dados completos'!I41</f>
        <v>Mar 2027 (não é janeiro)</v>
      </c>
      <c r="N169" s="31" t="str">
        <f aca="false">'Dados completos'!O41</f>
        <v>Não indicado</v>
      </c>
      <c r="O169" s="28" t="str">
        <f aca="false">'Dados completos'!V41</f>
        <v>Muito alta</v>
      </c>
      <c r="P169" s="30" t="str">
        <f aca="false">IF('Dados completos'!R41="","n/d",IF('Dados completos'!R41='Dados completos'!S41,TEXT('Dados completos'!R41,"#,##0"),TEXT('Dados completos'!R41,"#,##0")&amp;", "&amp;TEXT('Dados completos'!S41,"#,##0")))</f>
        <v>1,500, 2,500</v>
      </c>
      <c r="Q169" s="30" t="str">
        <f aca="false">'Dados completos'!M41</f>
        <v>Francês e inglês (ver oferta)</v>
      </c>
      <c r="R169" s="30" t="str">
        <f aca="false">'Dados completos'!AJ41</f>
        <v>Língua-chave FR (exigência 1); experiência prévia em finanças valorizada, CV tem pouca; exige mestrado em curso ou convenção de estágio, risco.</v>
      </c>
      <c r="S169" s="30" t="str">
        <f aca="false">'Dados completos'!AK41</f>
        <v>Por confirmar</v>
      </c>
      <c r="T169" s="24" t="str">
        <f aca="false">'Dados completos'!AP41</f>
        <v>Parcial (agregador/título)</v>
      </c>
      <c r="U169" s="30" t="str">
        <f aca="false">'Dados completos'!AO41</f>
        <v>Direto (site/ATS da empresa)</v>
      </c>
      <c r="V169" s="32" t="str">
        <f aca="false">HYPERLINK('Dados completos'!AN41,"Abrir")</f>
        <v>Abrir</v>
      </c>
    </row>
    <row r="170" customFormat="false" ht="45.75" hidden="false" customHeight="true" outlineLevel="0" collapsed="false">
      <c r="A170" s="24" t="n">
        <f aca="false">'Dados completos'!A42</f>
        <v>39</v>
      </c>
      <c r="B170" s="25" t="str">
        <f aca="false">'Dados completos'!AL42</f>
        <v>Candidatar (reach)</v>
      </c>
      <c r="C170" s="24" t="n">
        <f aca="false">'Dados completos'!Y42</f>
        <v>3.4</v>
      </c>
      <c r="D170" s="26" t="n">
        <f aca="false">'Dados completos'!AF42</f>
        <v>30</v>
      </c>
      <c r="E170" s="27" t="n">
        <f aca="false">'Dados completos'!AH42</f>
        <v>0.0076</v>
      </c>
      <c r="F170" s="28" t="str">
        <f aca="false">'Dados completos'!AI42</f>
        <v>Baixa</v>
      </c>
      <c r="G170" s="29" t="str">
        <f aca="false">'Dados completos'!B42</f>
        <v>Ardian</v>
      </c>
      <c r="H170" s="30" t="str">
        <f aca="false">'Dados completos'!C42</f>
        <v>Private Equity Semiconductor Buyout Stage, Mars 2027</v>
      </c>
      <c r="I170" s="30" t="str">
        <f aca="false">'Dados completos'!E42</f>
        <v>VC / private equity</v>
      </c>
      <c r="J170" s="24" t="str">
        <f aca="false">'Dados completos'!F42</f>
        <v>França</v>
      </c>
      <c r="K170" s="30" t="str">
        <f aca="false">'Dados completos'!G42</f>
        <v>Paris</v>
      </c>
      <c r="L170" s="30" t="str">
        <f aca="false">'Dados completos'!H42</f>
        <v>Não indicado (provável presencial)</v>
      </c>
      <c r="M170" s="30" t="str">
        <f aca="false">'Dados completos'!I42</f>
        <v>Mar 2027 (não é janeiro)</v>
      </c>
      <c r="N170" s="31" t="str">
        <f aca="false">'Dados completos'!O42</f>
        <v>Não indicado</v>
      </c>
      <c r="O170" s="28" t="str">
        <f aca="false">'Dados completos'!V42</f>
        <v>Muito alta</v>
      </c>
      <c r="P170" s="30" t="str">
        <f aca="false">IF('Dados completos'!R42="","n/d",IF('Dados completos'!R42='Dados completos'!S42,TEXT('Dados completos'!R42,"#,##0"),TEXT('Dados completos'!R42,"#,##0")&amp;", "&amp;TEXT('Dados completos'!S42,"#,##0")))</f>
        <v>1,500, 2,500</v>
      </c>
      <c r="Q170" s="30" t="str">
        <f aca="false">'Dados completos'!M42</f>
        <v>Francês e inglês (ver oferta)</v>
      </c>
      <c r="R170" s="30" t="str">
        <f aca="false">'Dados completos'!AJ42</f>
        <v>Língua-chave FR (exigência 1); experiência prévia em finanças valorizada, CV tem pouca; exige mestrado em curso ou convenção de estágio, risco.</v>
      </c>
      <c r="S170" s="30" t="str">
        <f aca="false">'Dados completos'!AK42</f>
        <v>Por confirmar</v>
      </c>
      <c r="T170" s="24" t="str">
        <f aca="false">'Dados completos'!AP42</f>
        <v>Parcial (agregador/título)</v>
      </c>
      <c r="U170" s="30" t="str">
        <f aca="false">'Dados completos'!AO42</f>
        <v>Direto (site/ATS da empresa)</v>
      </c>
      <c r="V170" s="32" t="str">
        <f aca="false">HYPERLINK('Dados completos'!AN42,"Abrir")</f>
        <v>Abrir</v>
      </c>
    </row>
    <row r="171" customFormat="false" ht="45.75" hidden="false" customHeight="true" outlineLevel="0" collapsed="false">
      <c r="A171" s="24" t="n">
        <f aca="false">'Dados completos'!A43</f>
        <v>40</v>
      </c>
      <c r="B171" s="25" t="str">
        <f aca="false">'Dados completos'!AL43</f>
        <v>Candidatar (reach)</v>
      </c>
      <c r="C171" s="24" t="n">
        <f aca="false">'Dados completos'!Y43</f>
        <v>3.4</v>
      </c>
      <c r="D171" s="26" t="n">
        <f aca="false">'Dados completos'!AF43</f>
        <v>30</v>
      </c>
      <c r="E171" s="27" t="n">
        <f aca="false">'Dados completos'!AH43</f>
        <v>0.0076</v>
      </c>
      <c r="F171" s="28" t="str">
        <f aca="false">'Dados completos'!AI43</f>
        <v>Baixa</v>
      </c>
      <c r="G171" s="29" t="str">
        <f aca="false">'Dados completos'!B43</f>
        <v>Ardian</v>
      </c>
      <c r="H171" s="30" t="str">
        <f aca="false">'Dados completos'!C43</f>
        <v>Private Equity Growth Stage, Mars 2027</v>
      </c>
      <c r="I171" s="30" t="str">
        <f aca="false">'Dados completos'!E43</f>
        <v>VC / private equity</v>
      </c>
      <c r="J171" s="24" t="str">
        <f aca="false">'Dados completos'!F43</f>
        <v>França</v>
      </c>
      <c r="K171" s="30" t="str">
        <f aca="false">'Dados completos'!G43</f>
        <v>Paris</v>
      </c>
      <c r="L171" s="30" t="str">
        <f aca="false">'Dados completos'!H43</f>
        <v>Não indicado (provável presencial)</v>
      </c>
      <c r="M171" s="30" t="str">
        <f aca="false">'Dados completos'!I43</f>
        <v>Mar 2027 (não é janeiro)</v>
      </c>
      <c r="N171" s="31" t="str">
        <f aca="false">'Dados completos'!O43</f>
        <v>Não indicado</v>
      </c>
      <c r="O171" s="28" t="str">
        <f aca="false">'Dados completos'!V43</f>
        <v>Muito alta</v>
      </c>
      <c r="P171" s="30" t="str">
        <f aca="false">IF('Dados completos'!R43="","n/d",IF('Dados completos'!R43='Dados completos'!S43,TEXT('Dados completos'!R43,"#,##0"),TEXT('Dados completos'!R43,"#,##0")&amp;", "&amp;TEXT('Dados completos'!S43,"#,##0")))</f>
        <v>1,500, 2,500</v>
      </c>
      <c r="Q171" s="30" t="str">
        <f aca="false">'Dados completos'!M43</f>
        <v>Francês e inglês (ver oferta)</v>
      </c>
      <c r="R171" s="30" t="str">
        <f aca="false">'Dados completos'!AJ43</f>
        <v>Língua-chave FR (exigência 1); experiência prévia em finanças valorizada, CV tem pouca; exige mestrado em curso ou convenção de estágio, risco.</v>
      </c>
      <c r="S171" s="30" t="str">
        <f aca="false">'Dados completos'!AK43</f>
        <v>Por confirmar</v>
      </c>
      <c r="T171" s="24" t="str">
        <f aca="false">'Dados completos'!AP43</f>
        <v>Parcial (agregador/título)</v>
      </c>
      <c r="U171" s="30" t="str">
        <f aca="false">'Dados completos'!AO43</f>
        <v>Direto (site/ATS da empresa)</v>
      </c>
      <c r="V171" s="32" t="str">
        <f aca="false">HYPERLINK('Dados completos'!AN43,"Abrir")</f>
        <v>Abrir</v>
      </c>
    </row>
    <row r="172" customFormat="false" ht="45.75" hidden="false" customHeight="true" outlineLevel="0" collapsed="false">
      <c r="A172" s="24" t="n">
        <f aca="false">'Dados completos'!A44</f>
        <v>41</v>
      </c>
      <c r="B172" s="25" t="str">
        <f aca="false">'Dados completos'!AL44</f>
        <v>Candidatar (reach)</v>
      </c>
      <c r="C172" s="24" t="n">
        <f aca="false">'Dados completos'!Y44</f>
        <v>3.4</v>
      </c>
      <c r="D172" s="26" t="n">
        <f aca="false">'Dados completos'!AF44</f>
        <v>30</v>
      </c>
      <c r="E172" s="27" t="n">
        <f aca="false">'Dados completos'!AH44</f>
        <v>0.0076</v>
      </c>
      <c r="F172" s="28" t="str">
        <f aca="false">'Dados completos'!AI44</f>
        <v>Baixa</v>
      </c>
      <c r="G172" s="29" t="str">
        <f aca="false">'Dados completos'!B44</f>
        <v>Ardian</v>
      </c>
      <c r="H172" s="30" t="str">
        <f aca="false">'Dados completos'!C44</f>
        <v>Private Equity Expansion Stage, Mars 2027</v>
      </c>
      <c r="I172" s="30" t="str">
        <f aca="false">'Dados completos'!E44</f>
        <v>VC / private equity</v>
      </c>
      <c r="J172" s="24" t="str">
        <f aca="false">'Dados completos'!F44</f>
        <v>França</v>
      </c>
      <c r="K172" s="30" t="str">
        <f aca="false">'Dados completos'!G44</f>
        <v>Paris</v>
      </c>
      <c r="L172" s="30" t="str">
        <f aca="false">'Dados completos'!H44</f>
        <v>Não indicado (provável presencial)</v>
      </c>
      <c r="M172" s="30" t="str">
        <f aca="false">'Dados completos'!I44</f>
        <v>Mar 2027 (não é janeiro)</v>
      </c>
      <c r="N172" s="31" t="str">
        <f aca="false">'Dados completos'!O44</f>
        <v>Não indicado</v>
      </c>
      <c r="O172" s="28" t="str">
        <f aca="false">'Dados completos'!V44</f>
        <v>Muito alta</v>
      </c>
      <c r="P172" s="30" t="str">
        <f aca="false">IF('Dados completos'!R44="","n/d",IF('Dados completos'!R44='Dados completos'!S44,TEXT('Dados completos'!R44,"#,##0"),TEXT('Dados completos'!R44,"#,##0")&amp;", "&amp;TEXT('Dados completos'!S44,"#,##0")))</f>
        <v>1,500, 2,500</v>
      </c>
      <c r="Q172" s="30" t="str">
        <f aca="false">'Dados completos'!M44</f>
        <v>Francês e inglês (ver oferta)</v>
      </c>
      <c r="R172" s="30" t="str">
        <f aca="false">'Dados completos'!AJ44</f>
        <v>Língua-chave FR (exigência 1); experiência prévia em finanças valorizada, CV tem pouca; exige mestrado em curso ou convenção de estágio, risco.</v>
      </c>
      <c r="S172" s="30" t="str">
        <f aca="false">'Dados completos'!AK44</f>
        <v>Por confirmar</v>
      </c>
      <c r="T172" s="24" t="str">
        <f aca="false">'Dados completos'!AP44</f>
        <v>Parcial (agregador/título)</v>
      </c>
      <c r="U172" s="30" t="str">
        <f aca="false">'Dados completos'!AO44</f>
        <v>Direto (site/ATS da empresa)</v>
      </c>
      <c r="V172" s="32" t="str">
        <f aca="false">HYPERLINK('Dados completos'!AN44,"Abrir")</f>
        <v>Abrir</v>
      </c>
    </row>
    <row r="173" customFormat="false" ht="45.75" hidden="false" customHeight="true" outlineLevel="0" collapsed="false">
      <c r="A173" s="24" t="n">
        <f aca="false">'Dados completos'!A29</f>
        <v>26</v>
      </c>
      <c r="B173" s="25" t="str">
        <f aca="false">'Dados completos'!AL29</f>
        <v>Reserva</v>
      </c>
      <c r="C173" s="24" t="n">
        <f aca="false">'Dados completos'!Y29</f>
        <v>2.8</v>
      </c>
      <c r="D173" s="26" t="n">
        <f aca="false">'Dados completos'!AF29</f>
        <v>45.25</v>
      </c>
      <c r="E173" s="27" t="n">
        <f aca="false">'Dados completos'!AH29</f>
        <v>0.00943</v>
      </c>
      <c r="F173" s="28" t="str">
        <f aca="false">'Dados completos'!AI29</f>
        <v>Baixa</v>
      </c>
      <c r="G173" s="29" t="str">
        <f aca="false">'Dados completos'!B29</f>
        <v>Goldman Sachs</v>
      </c>
      <c r="H173" s="30" t="str">
        <f aca="false">'Dados completos'!C29</f>
        <v>IB Classic Seasonal / Off-Cycle (Paris, jan-mar 2027)</v>
      </c>
      <c r="I173" s="30" t="str">
        <f aca="false">'Dados completos'!E29</f>
        <v>Banca de investimento</v>
      </c>
      <c r="J173" s="24" t="str">
        <f aca="false">'Dados completos'!F29</f>
        <v>França</v>
      </c>
      <c r="K173" s="30" t="str">
        <f aca="false">'Dados completos'!G29</f>
        <v>Paris</v>
      </c>
      <c r="L173" s="30" t="str">
        <f aca="false">'Dados completos'!H29</f>
        <v>Não indicado (provável presencial)</v>
      </c>
      <c r="M173" s="30" t="str">
        <f aca="false">'Dados completos'!I29</f>
        <v>Jan-Mar 2027</v>
      </c>
      <c r="N173" s="31" t="str">
        <f aca="false">'Dados completos'!O29</f>
        <v>Não indicado</v>
      </c>
      <c r="O173" s="28" t="str">
        <f aca="false">'Dados completos'!V29</f>
        <v>Muito alta</v>
      </c>
      <c r="P173" s="30" t="str">
        <f aca="false">IF('Dados completos'!R29="","n/d",IF('Dados completos'!R29='Dados completos'!S29,TEXT('Dados completos'!R29,"#,##0"),TEXT('Dados completos'!R29,"#,##0")&amp;", "&amp;TEXT('Dados completos'!S29,"#,##0")))</f>
        <v>1,500, 2,500</v>
      </c>
      <c r="Q173" s="30" t="str">
        <f aca="false">'Dados completos'!M29</f>
        <v>Francês provável</v>
      </c>
      <c r="R173" s="30" t="str">
        <f aca="false">'Dados completos'!AJ29</f>
        <v>Língua-chave FR (exigência 0.5); experiência prévia em finanças valorizada, CV tem pouca; exige mestrado em curso ou convenção de estágio, risco.</v>
      </c>
      <c r="S173" s="30" t="str">
        <f aca="false">'Dados completos'!AK29</f>
        <v>Por confirmar</v>
      </c>
      <c r="T173" s="24" t="str">
        <f aca="false">'Dados completos'!AP29</f>
        <v>Parcial (agregador/título)</v>
      </c>
      <c r="U173" s="30" t="str">
        <f aca="false">'Dados completos'!AO29</f>
        <v>Direto (site/ATS da empresa)</v>
      </c>
      <c r="V173" s="32" t="str">
        <f aca="false">HYPERLINK('Dados completos'!AN29,"Abrir")</f>
        <v>Abrir</v>
      </c>
    </row>
    <row r="174" customFormat="false" ht="45.75" hidden="false" customHeight="true" outlineLevel="0" collapsed="false">
      <c r="A174" s="24" t="n">
        <f aca="false">'Dados completos'!A30</f>
        <v>27</v>
      </c>
      <c r="B174" s="25" t="str">
        <f aca="false">'Dados completos'!AL30</f>
        <v>Reserva</v>
      </c>
      <c r="C174" s="24" t="n">
        <f aca="false">'Dados completos'!Y30</f>
        <v>2.8</v>
      </c>
      <c r="D174" s="26" t="n">
        <f aca="false">'Dados completos'!AF30</f>
        <v>45.25</v>
      </c>
      <c r="E174" s="27" t="n">
        <f aca="false">'Dados completos'!AH30</f>
        <v>0.00943</v>
      </c>
      <c r="F174" s="28" t="str">
        <f aca="false">'Dados completos'!AI30</f>
        <v>Baixa</v>
      </c>
      <c r="G174" s="29" t="str">
        <f aca="false">'Dados completos'!B30</f>
        <v>Goldman Sachs</v>
      </c>
      <c r="H174" s="30" t="str">
        <f aca="false">'Dados completos'!C30</f>
        <v>IB Classic Seasonal / Off-Cycle (Frankfurt, jan-mar 2027)</v>
      </c>
      <c r="I174" s="30" t="str">
        <f aca="false">'Dados completos'!E30</f>
        <v>Banca de investimento</v>
      </c>
      <c r="J174" s="24" t="str">
        <f aca="false">'Dados completos'!F30</f>
        <v>Alemanha</v>
      </c>
      <c r="K174" s="30" t="str">
        <f aca="false">'Dados completos'!G30</f>
        <v>Frankfurt</v>
      </c>
      <c r="L174" s="30" t="str">
        <f aca="false">'Dados completos'!H30</f>
        <v>Não indicado (provável presencial)</v>
      </c>
      <c r="M174" s="30" t="str">
        <f aca="false">'Dados completos'!I30</f>
        <v>Jan-Mar 2027</v>
      </c>
      <c r="N174" s="31" t="str">
        <f aca="false">'Dados completos'!O30</f>
        <v>Não indicado</v>
      </c>
      <c r="O174" s="28" t="str">
        <f aca="false">'Dados completos'!V30</f>
        <v>Muito alta</v>
      </c>
      <c r="P174" s="30" t="str">
        <f aca="false">IF('Dados completos'!R30="","n/d",IF('Dados completos'!R30='Dados completos'!S30,TEXT('Dados completos'!R30,"#,##0"),TEXT('Dados completos'!R30,"#,##0")&amp;", "&amp;TEXT('Dados completos'!S30,"#,##0")))</f>
        <v>1,800, 2,500</v>
      </c>
      <c r="Q174" s="30" t="str">
        <f aca="false">'Dados completos'!M30</f>
        <v>Inglês; alemão provável</v>
      </c>
      <c r="R174" s="30" t="str">
        <f aca="false">'Dados completos'!AJ30</f>
        <v>Língua-chave DE (exigência 0.5); experiência prévia em finanças valorizada, CV tem pouca; exige mestrado em curso ou convenção de estágio, risco.</v>
      </c>
      <c r="S174" s="30" t="str">
        <f aca="false">'Dados completos'!AK30</f>
        <v>Por confirmar</v>
      </c>
      <c r="T174" s="24" t="str">
        <f aca="false">'Dados completos'!AP30</f>
        <v>Parcial (agregador/título)</v>
      </c>
      <c r="U174" s="30" t="str">
        <f aca="false">'Dados completos'!AO30</f>
        <v>Direto (site/ATS da empresa)</v>
      </c>
      <c r="V174" s="32" t="str">
        <f aca="false">HYPERLINK('Dados completos'!AN30,"Abrir")</f>
        <v>Abrir</v>
      </c>
    </row>
    <row r="175" customFormat="false" ht="45.75" hidden="false" customHeight="true" outlineLevel="0" collapsed="false">
      <c r="A175" s="24" t="n">
        <f aca="false">'Dados completos'!A106</f>
        <v>103</v>
      </c>
      <c r="B175" s="25" t="str">
        <f aca="false">'Dados completos'!AL106</f>
        <v>Reserva</v>
      </c>
      <c r="C175" s="24" t="n">
        <f aca="false">'Dados completos'!Y106</f>
        <v>2.9</v>
      </c>
      <c r="D175" s="26" t="n">
        <f aca="false">'Dados completos'!AF106</f>
        <v>45.2</v>
      </c>
      <c r="E175" s="27" t="n">
        <f aca="false">'Dados completos'!AH106</f>
        <v>0.009424</v>
      </c>
      <c r="F175" s="28" t="str">
        <f aca="false">'Dados completos'!AI106</f>
        <v>Baixa</v>
      </c>
      <c r="G175" s="29" t="str">
        <f aca="false">'Dados completos'!B106</f>
        <v>Evercore</v>
      </c>
      <c r="H175" s="30" t="str">
        <f aca="false">'Dados completos'!C106</f>
        <v>Madrid Off-Cycle Internship, Jan-Jun 2027</v>
      </c>
      <c r="I175" s="30" t="str">
        <f aca="false">'Dados completos'!E106</f>
        <v>Banca de investimento / boutique</v>
      </c>
      <c r="J175" s="24" t="str">
        <f aca="false">'Dados completos'!F106</f>
        <v>Espanha</v>
      </c>
      <c r="K175" s="30" t="str">
        <f aca="false">'Dados completos'!G106</f>
        <v>Madrid</v>
      </c>
      <c r="L175" s="30" t="str">
        <f aca="false">'Dados completos'!H106</f>
        <v>Não indicado (provável presencial)</v>
      </c>
      <c r="M175" s="30" t="str">
        <f aca="false">'Dados completos'!I106</f>
        <v>Jan-Jun 2027</v>
      </c>
      <c r="N175" s="31" t="str">
        <f aca="false">'Dados completos'!O106</f>
        <v>Não indicado</v>
      </c>
      <c r="O175" s="28" t="str">
        <f aca="false">'Dados completos'!V106</f>
        <v>Muito alta</v>
      </c>
      <c r="P175" s="30" t="str">
        <f aca="false">IF('Dados completos'!R106="","n/d",IF('Dados completos'!R106='Dados completos'!S106,TEXT('Dados completos'!R106,"#,##0"),TEXT('Dados completos'!R106,"#,##0")&amp;", "&amp;TEXT('Dados completos'!S106,"#,##0")))</f>
        <v>1,000, 1,800</v>
      </c>
      <c r="Q175" s="30" t="str">
        <f aca="false">'Dados completos'!M106</f>
        <v>Espanhol e inglês (ver oferta)</v>
      </c>
      <c r="R175" s="30" t="str">
        <f aca="false">'Dados completos'!AJ106</f>
        <v>Língua-chave ES (exigência 0.8); experiência prévia em finanças valorizada, CV tem pouca; exige mestrado em curso ou convenção de estágio, risco.</v>
      </c>
      <c r="S175" s="30" t="str">
        <f aca="false">'Dados completos'!AK106</f>
        <v>Por confirmar</v>
      </c>
      <c r="T175" s="24" t="str">
        <f aca="false">'Dados completos'!AP106</f>
        <v>Parcial (agregador/título)</v>
      </c>
      <c r="U175" s="30" t="str">
        <f aca="false">'Dados completos'!AO106</f>
        <v>Direto (site/ATS da empresa)</v>
      </c>
      <c r="V175" s="32" t="str">
        <f aca="false">HYPERLINK('Dados completos'!AN106,"Abrir")</f>
        <v>Abrir</v>
      </c>
    </row>
    <row r="176" customFormat="false" ht="45.75" hidden="false" customHeight="true" outlineLevel="0" collapsed="false">
      <c r="A176" s="24" t="n">
        <f aca="false">'Dados completos'!A26</f>
        <v>23</v>
      </c>
      <c r="B176" s="25" t="str">
        <f aca="false">'Dados completos'!AL26</f>
        <v>Candidatar (reach)</v>
      </c>
      <c r="C176" s="24" t="n">
        <f aca="false">'Dados completos'!Y26</f>
        <v>3</v>
      </c>
      <c r="D176" s="26" t="n">
        <f aca="false">'Dados completos'!AF26</f>
        <v>44.9</v>
      </c>
      <c r="E176" s="27" t="n">
        <f aca="false">'Dados completos'!AH26</f>
        <v>0.009388</v>
      </c>
      <c r="F176" s="28" t="str">
        <f aca="false">'Dados completos'!AI26</f>
        <v>Baixa</v>
      </c>
      <c r="G176" s="29" t="str">
        <f aca="false">'Dados completos'!B26</f>
        <v>Jefferies</v>
      </c>
      <c r="H176" s="30" t="str">
        <f aca="false">'Dados completos'!C26</f>
        <v>IB Off-Cycle Internship, Paris (Generalist / Consumer)</v>
      </c>
      <c r="I176" s="30" t="str">
        <f aca="false">'Dados completos'!E26</f>
        <v>Banca de investimento / boutique</v>
      </c>
      <c r="J176" s="24" t="str">
        <f aca="false">'Dados completos'!F26</f>
        <v>França</v>
      </c>
      <c r="K176" s="30" t="str">
        <f aca="false">'Dados completos'!G26</f>
        <v>Paris</v>
      </c>
      <c r="L176" s="30" t="str">
        <f aca="false">'Dados completos'!H26</f>
        <v>Não indicado (provável presencial)</v>
      </c>
      <c r="M176" s="30" t="str">
        <f aca="false">'Dados completos'!I26</f>
        <v>Jan 2027</v>
      </c>
      <c r="N176" s="31" t="str">
        <f aca="false">'Dados completos'!O26</f>
        <v>Não indicado</v>
      </c>
      <c r="O176" s="28" t="str">
        <f aca="false">'Dados completos'!V26</f>
        <v>Muito alta</v>
      </c>
      <c r="P176" s="30" t="str">
        <f aca="false">IF('Dados completos'!R26="","n/d",IF('Dados completos'!R26='Dados completos'!S26,TEXT('Dados completos'!R26,"#,##0"),TEXT('Dados completos'!R26,"#,##0")&amp;", "&amp;TEXT('Dados completos'!S26,"#,##0")))</f>
        <v>1,500, 2,500</v>
      </c>
      <c r="Q176" s="30" t="str">
        <f aca="false">'Dados completos'!M26</f>
        <v>Francês provável</v>
      </c>
      <c r="R176" s="30" t="str">
        <f aca="false">'Dados completos'!AJ26</f>
        <v>Língua-chave FR (exigência 0.6); experiência prévia em finanças valorizada, CV tem pouca; exige mestrado em curso ou convenção de estágio, risco.</v>
      </c>
      <c r="S176" s="30" t="str">
        <f aca="false">'Dados completos'!AK26</f>
        <v>Por confirmar</v>
      </c>
      <c r="T176" s="24" t="str">
        <f aca="false">'Dados completos'!AP26</f>
        <v>Parcial (agregador/título)</v>
      </c>
      <c r="U176" s="30" t="str">
        <f aca="false">'Dados completos'!AO26</f>
        <v>Direto (site/ATS da empresa)</v>
      </c>
      <c r="V176" s="32" t="str">
        <f aca="false">HYPERLINK('Dados completos'!AN26,"Abrir")</f>
        <v>Abrir</v>
      </c>
    </row>
    <row r="177" customFormat="false" ht="45.75" hidden="false" customHeight="true" outlineLevel="0" collapsed="false">
      <c r="A177" s="24" t="n">
        <f aca="false">'Dados completos'!A100</f>
        <v>97</v>
      </c>
      <c r="B177" s="25" t="str">
        <f aca="false">'Dados completos'!AL100</f>
        <v>Reserva</v>
      </c>
      <c r="C177" s="24" t="n">
        <f aca="false">'Dados completos'!Y100</f>
        <v>2.9</v>
      </c>
      <c r="D177" s="26" t="n">
        <f aca="false">'Dados completos'!AF100</f>
        <v>44.9</v>
      </c>
      <c r="E177" s="27" t="n">
        <f aca="false">'Dados completos'!AH100</f>
        <v>0.009388</v>
      </c>
      <c r="F177" s="28" t="str">
        <f aca="false">'Dados completos'!AI100</f>
        <v>Baixa</v>
      </c>
      <c r="G177" s="29" t="str">
        <f aca="false">'Dados completos'!B100</f>
        <v>Barclays</v>
      </c>
      <c r="H177" s="30" t="str">
        <f aca="false">'Dados completos'!C100</f>
        <v>Banking Off-Cycle Internship Programme 2027 (Paris)</v>
      </c>
      <c r="I177" s="30" t="str">
        <f aca="false">'Dados completos'!E100</f>
        <v>Banca de investimento</v>
      </c>
      <c r="J177" s="24" t="str">
        <f aca="false">'Dados completos'!F100</f>
        <v>França</v>
      </c>
      <c r="K177" s="30" t="str">
        <f aca="false">'Dados completos'!G100</f>
        <v>Paris</v>
      </c>
      <c r="L177" s="30" t="str">
        <f aca="false">'Dados completos'!H100</f>
        <v>Não indicado (provável presencial)</v>
      </c>
      <c r="M177" s="30" t="str">
        <f aca="false">'Dados completos'!I100</f>
        <v>2027 (mês por confirmar)</v>
      </c>
      <c r="N177" s="31" t="str">
        <f aca="false">'Dados completos'!O100</f>
        <v>Não indicado</v>
      </c>
      <c r="O177" s="28" t="str">
        <f aca="false">'Dados completos'!V100</f>
        <v>Muito alta</v>
      </c>
      <c r="P177" s="30" t="str">
        <f aca="false">IF('Dados completos'!R100="","n/d",IF('Dados completos'!R100='Dados completos'!S100,TEXT('Dados completos'!R100,"#,##0"),TEXT('Dados completos'!R100,"#,##0")&amp;", "&amp;TEXT('Dados completos'!S100,"#,##0")))</f>
        <v>1,500, 2,500</v>
      </c>
      <c r="Q177" s="30" t="str">
        <f aca="false">'Dados completos'!M100</f>
        <v>Francês e inglês (ver oferta)</v>
      </c>
      <c r="R177" s="30" t="str">
        <f aca="false">'Dados completos'!AJ100</f>
        <v>Língua-chave FR (exigência 0.6); experiência prévia em finanças valorizada, CV tem pouca; exige mestrado em curso ou convenção de estágio, risco.</v>
      </c>
      <c r="S177" s="30" t="str">
        <f aca="false">'Dados completos'!AK100</f>
        <v>Por confirmar</v>
      </c>
      <c r="T177" s="24" t="str">
        <f aca="false">'Dados completos'!AP100</f>
        <v>Parcial (agregador/título)</v>
      </c>
      <c r="U177" s="30" t="str">
        <f aca="false">'Dados completos'!AO100</f>
        <v>Direto (site/ATS da empresa)</v>
      </c>
      <c r="V177" s="32" t="str">
        <f aca="false">HYPERLINK('Dados completos'!AN100,"Abrir")</f>
        <v>Abrir</v>
      </c>
    </row>
    <row r="178" customFormat="false" ht="45.75" hidden="false" customHeight="true" outlineLevel="0" collapsed="false">
      <c r="A178" s="24" t="n">
        <f aca="false">'Dados completos'!A117</f>
        <v>114</v>
      </c>
      <c r="B178" s="25" t="str">
        <f aca="false">'Dados completos'!AL117</f>
        <v>Reserva</v>
      </c>
      <c r="C178" s="24" t="n">
        <f aca="false">'Dados completos'!Y117</f>
        <v>2.9</v>
      </c>
      <c r="D178" s="26" t="n">
        <f aca="false">'Dados completos'!AF117</f>
        <v>44.75</v>
      </c>
      <c r="E178" s="27" t="n">
        <f aca="false">'Dados completos'!AH117</f>
        <v>0.00937</v>
      </c>
      <c r="F178" s="28" t="str">
        <f aca="false">'Dados completos'!AI117</f>
        <v>Baixa</v>
      </c>
      <c r="G178" s="29" t="str">
        <f aca="false">'Dados completos'!B117</f>
        <v>Goldman Sachs</v>
      </c>
      <c r="H178" s="30" t="str">
        <f aca="false">'Dados completos'!C117</f>
        <v>2027 Investment Banking, Capital Solutions Group, Seasonal/Off-Cycle</v>
      </c>
      <c r="I178" s="30" t="str">
        <f aca="false">'Dados completos'!E117</f>
        <v>Banca de investimento</v>
      </c>
      <c r="J178" s="24" t="str">
        <f aca="false">'Dados completos'!F117</f>
        <v>França</v>
      </c>
      <c r="K178" s="30" t="str">
        <f aca="false">'Dados completos'!G117</f>
        <v>Paris</v>
      </c>
      <c r="L178" s="30" t="str">
        <f aca="false">'Dados completos'!H117</f>
        <v>Não indicado (provável presencial)</v>
      </c>
      <c r="M178" s="30" t="str">
        <f aca="false">'Dados completos'!I117</f>
        <v>2027 (mês por confirmar)</v>
      </c>
      <c r="N178" s="31" t="str">
        <f aca="false">'Dados completos'!O117</f>
        <v>Não indicado</v>
      </c>
      <c r="O178" s="28" t="str">
        <f aca="false">'Dados completos'!V117</f>
        <v>Muito alta</v>
      </c>
      <c r="P178" s="30" t="str">
        <f aca="false">IF('Dados completos'!R117="","n/d",IF('Dados completos'!R117='Dados completos'!S117,TEXT('Dados completos'!R117,"#,##0"),TEXT('Dados completos'!R117,"#,##0")&amp;", "&amp;TEXT('Dados completos'!S117,"#,##0")))</f>
        <v>1,500, 2,500</v>
      </c>
      <c r="Q178" s="30" t="str">
        <f aca="false">'Dados completos'!M117</f>
        <v>Francês e inglês (ver oferta)</v>
      </c>
      <c r="R178" s="30" t="str">
        <f aca="false">'Dados completos'!AJ117</f>
        <v>Língua-chave FR (exigência 0.5); pede experiência prévia em IB/PE/consultoria, o CV mostrado não tem; exige mestrado em curso ou convenção de estágio, risco.</v>
      </c>
      <c r="S178" s="30" t="str">
        <f aca="false">'Dados completos'!AK117</f>
        <v>Por confirmar</v>
      </c>
      <c r="T178" s="24" t="str">
        <f aca="false">'Dados completos'!AP117</f>
        <v>Parcial (agregador/título)</v>
      </c>
      <c r="U178" s="30" t="str">
        <f aca="false">'Dados completos'!AO117</f>
        <v>Direto (site/ATS da empresa)</v>
      </c>
      <c r="V178" s="32" t="str">
        <f aca="false">HYPERLINK('Dados completos'!AN117,"Abrir")</f>
        <v>Abrir</v>
      </c>
    </row>
    <row r="179" customFormat="false" ht="45.75" hidden="false" customHeight="true" outlineLevel="0" collapsed="false">
      <c r="A179" s="24" t="n">
        <f aca="false">'Dados completos'!A118</f>
        <v>115</v>
      </c>
      <c r="B179" s="25" t="str">
        <f aca="false">'Dados completos'!AL118</f>
        <v>Reserva</v>
      </c>
      <c r="C179" s="24" t="n">
        <f aca="false">'Dados completos'!Y118</f>
        <v>2.9</v>
      </c>
      <c r="D179" s="26" t="n">
        <f aca="false">'Dados completos'!AF118</f>
        <v>44.75</v>
      </c>
      <c r="E179" s="27" t="n">
        <f aca="false">'Dados completos'!AH118</f>
        <v>0.00937</v>
      </c>
      <c r="F179" s="28" t="str">
        <f aca="false">'Dados completos'!AI118</f>
        <v>Baixa</v>
      </c>
      <c r="G179" s="29" t="str">
        <f aca="false">'Dados completos'!B118</f>
        <v>Goldman Sachs</v>
      </c>
      <c r="H179" s="30" t="str">
        <f aca="false">'Dados completos'!C118</f>
        <v>2027 Investment Banking, Classic, Consumer Retail Group, Seasonal/Off-Cycle</v>
      </c>
      <c r="I179" s="30" t="str">
        <f aca="false">'Dados completos'!E118</f>
        <v>Banca de investimento</v>
      </c>
      <c r="J179" s="24" t="str">
        <f aca="false">'Dados completos'!F118</f>
        <v>França</v>
      </c>
      <c r="K179" s="30" t="str">
        <f aca="false">'Dados completos'!G118</f>
        <v>Paris</v>
      </c>
      <c r="L179" s="30" t="str">
        <f aca="false">'Dados completos'!H118</f>
        <v>Não indicado (provável presencial)</v>
      </c>
      <c r="M179" s="30" t="str">
        <f aca="false">'Dados completos'!I118</f>
        <v>2027 (mês por confirmar)</v>
      </c>
      <c r="N179" s="31" t="str">
        <f aca="false">'Dados completos'!O118</f>
        <v>Não indicado</v>
      </c>
      <c r="O179" s="28" t="str">
        <f aca="false">'Dados completos'!V118</f>
        <v>Muito alta</v>
      </c>
      <c r="P179" s="30" t="str">
        <f aca="false">IF('Dados completos'!R118="","n/d",IF('Dados completos'!R118='Dados completos'!S118,TEXT('Dados completos'!R118,"#,##0"),TEXT('Dados completos'!R118,"#,##0")&amp;", "&amp;TEXT('Dados completos'!S118,"#,##0")))</f>
        <v>1,500, 2,500</v>
      </c>
      <c r="Q179" s="30" t="str">
        <f aca="false">'Dados completos'!M118</f>
        <v>Francês e inglês (ver oferta)</v>
      </c>
      <c r="R179" s="30" t="str">
        <f aca="false">'Dados completos'!AJ118</f>
        <v>Língua-chave FR (exigência 0.5); pede experiência prévia em IB/PE/consultoria, o CV mostrado não tem; exige mestrado em curso ou convenção de estágio, risco.</v>
      </c>
      <c r="S179" s="30" t="str">
        <f aca="false">'Dados completos'!AK118</f>
        <v>Por confirmar</v>
      </c>
      <c r="T179" s="24" t="str">
        <f aca="false">'Dados completos'!AP118</f>
        <v>Parcial (agregador/título)</v>
      </c>
      <c r="U179" s="30" t="str">
        <f aca="false">'Dados completos'!AO118</f>
        <v>Direto (site/ATS da empresa)</v>
      </c>
      <c r="V179" s="32" t="str">
        <f aca="false">HYPERLINK('Dados completos'!AN118,"Abrir")</f>
        <v>Abrir</v>
      </c>
    </row>
    <row r="180" customFormat="false" ht="45.75" hidden="false" customHeight="true" outlineLevel="0" collapsed="false">
      <c r="A180" s="24" t="n">
        <f aca="false">'Dados completos'!A119</f>
        <v>116</v>
      </c>
      <c r="B180" s="25" t="str">
        <f aca="false">'Dados completos'!AL119</f>
        <v>Reserva</v>
      </c>
      <c r="C180" s="24" t="n">
        <f aca="false">'Dados completos'!Y119</f>
        <v>2.9</v>
      </c>
      <c r="D180" s="26" t="n">
        <f aca="false">'Dados completos'!AF119</f>
        <v>44.75</v>
      </c>
      <c r="E180" s="27" t="n">
        <f aca="false">'Dados completos'!AH119</f>
        <v>0.00937</v>
      </c>
      <c r="F180" s="28" t="str">
        <f aca="false">'Dados completos'!AI119</f>
        <v>Baixa</v>
      </c>
      <c r="G180" s="29" t="str">
        <f aca="false">'Dados completos'!B119</f>
        <v>Goldman Sachs</v>
      </c>
      <c r="H180" s="30" t="str">
        <f aca="false">'Dados completos'!C119</f>
        <v>2027 Investment Banking, Classic, Financial Institutions Group, Seasonal/Off-Cycle</v>
      </c>
      <c r="I180" s="30" t="str">
        <f aca="false">'Dados completos'!E119</f>
        <v>Banca de investimento</v>
      </c>
      <c r="J180" s="24" t="str">
        <f aca="false">'Dados completos'!F119</f>
        <v>França</v>
      </c>
      <c r="K180" s="30" t="str">
        <f aca="false">'Dados completos'!G119</f>
        <v>Paris</v>
      </c>
      <c r="L180" s="30" t="str">
        <f aca="false">'Dados completos'!H119</f>
        <v>Não indicado (provável presencial)</v>
      </c>
      <c r="M180" s="30" t="str">
        <f aca="false">'Dados completos'!I119</f>
        <v>2027 (mês por confirmar)</v>
      </c>
      <c r="N180" s="31" t="str">
        <f aca="false">'Dados completos'!O119</f>
        <v>Não indicado</v>
      </c>
      <c r="O180" s="28" t="str">
        <f aca="false">'Dados completos'!V119</f>
        <v>Muito alta</v>
      </c>
      <c r="P180" s="30" t="str">
        <f aca="false">IF('Dados completos'!R119="","n/d",IF('Dados completos'!R119='Dados completos'!S119,TEXT('Dados completos'!R119,"#,##0"),TEXT('Dados completos'!R119,"#,##0")&amp;", "&amp;TEXT('Dados completos'!S119,"#,##0")))</f>
        <v>1,500, 2,500</v>
      </c>
      <c r="Q180" s="30" t="str">
        <f aca="false">'Dados completos'!M119</f>
        <v>Francês e inglês (ver oferta)</v>
      </c>
      <c r="R180" s="30" t="str">
        <f aca="false">'Dados completos'!AJ119</f>
        <v>Língua-chave FR (exigência 0.5); pede experiência prévia em IB/PE/consultoria, o CV mostrado não tem; exige mestrado em curso ou convenção de estágio, risco.</v>
      </c>
      <c r="S180" s="30" t="str">
        <f aca="false">'Dados completos'!AK119</f>
        <v>Por confirmar</v>
      </c>
      <c r="T180" s="24" t="str">
        <f aca="false">'Dados completos'!AP119</f>
        <v>Parcial (agregador/título)</v>
      </c>
      <c r="U180" s="30" t="str">
        <f aca="false">'Dados completos'!AO119</f>
        <v>Direto (site/ATS da empresa)</v>
      </c>
      <c r="V180" s="32" t="str">
        <f aca="false">HYPERLINK('Dados completos'!AN119,"Abrir")</f>
        <v>Abrir</v>
      </c>
    </row>
    <row r="181" customFormat="false" ht="45.75" hidden="false" customHeight="true" outlineLevel="0" collapsed="false">
      <c r="A181" s="24" t="n">
        <f aca="false">'Dados completos'!A6</f>
        <v>3</v>
      </c>
      <c r="B181" s="25" t="str">
        <f aca="false">'Dados completos'!AL6</f>
        <v>Reserva</v>
      </c>
      <c r="C181" s="24" t="n">
        <f aca="false">'Dados completos'!Y6</f>
        <v>2.8</v>
      </c>
      <c r="D181" s="26" t="n">
        <f aca="false">'Dados completos'!AF6</f>
        <v>42.9</v>
      </c>
      <c r="E181" s="27" t="n">
        <f aca="false">'Dados completos'!AH6</f>
        <v>0.009148</v>
      </c>
      <c r="F181" s="28" t="str">
        <f aca="false">'Dados completos'!AI6</f>
        <v>Baixa</v>
      </c>
      <c r="G181" s="29" t="str">
        <f aca="false">'Dados completos'!B6</f>
        <v>Rothschild &amp; Co</v>
      </c>
      <c r="H181" s="30" t="str">
        <f aca="false">'Dados completos'!C6</f>
        <v>Stage, Transaction R&amp;Co, Global Advisory (Paris)</v>
      </c>
      <c r="I181" s="30" t="str">
        <f aca="false">'Dados completos'!E6</f>
        <v>Banca de investimento / boutique</v>
      </c>
      <c r="J181" s="24" t="str">
        <f aca="false">'Dados completos'!F6</f>
        <v>França</v>
      </c>
      <c r="K181" s="30" t="str">
        <f aca="false">'Dados completos'!G6</f>
        <v>Paris</v>
      </c>
      <c r="L181" s="30" t="str">
        <f aca="false">'Dados completos'!H6</f>
        <v>Não indicado (provável presencial)</v>
      </c>
      <c r="M181" s="30" t="str">
        <f aca="false">'Dados completos'!I6</f>
        <v>Jan/Mar 2027</v>
      </c>
      <c r="N181" s="31" t="str">
        <f aca="false">'Dados completos'!O6</f>
        <v>Não indicado</v>
      </c>
      <c r="O181" s="28" t="str">
        <f aca="false">'Dados completos'!V6</f>
        <v>Muito alta</v>
      </c>
      <c r="P181" s="30" t="str">
        <f aca="false">IF('Dados completos'!R6="","n/d",IF('Dados completos'!R6='Dados completos'!S6,TEXT('Dados completos'!R6,"#,##0"),TEXT('Dados completos'!R6,"#,##0")&amp;", "&amp;TEXT('Dados completos'!S6,"#,##0")))</f>
        <v>1,500, 2,500</v>
      </c>
      <c r="Q181" s="30" t="str">
        <f aca="false">'Dados completos'!M6</f>
        <v>Francês provável</v>
      </c>
      <c r="R181" s="30" t="str">
        <f aca="false">'Dados completos'!AJ6</f>
        <v>Língua-chave FR (exigência 0.6); experiência prévia em finanças valorizada, CV tem pouca; exige mestrado em curso ou convenção de estágio, risco.</v>
      </c>
      <c r="S181" s="30" t="str">
        <f aca="false">'Dados completos'!AK6</f>
        <v>Por confirmar</v>
      </c>
      <c r="T181" s="24" t="str">
        <f aca="false">'Dados completos'!AP6</f>
        <v>Parcial (agregador/título)</v>
      </c>
      <c r="U181" s="30" t="str">
        <f aca="false">'Dados completos'!AO6</f>
        <v>Direto (site/ATS da empresa)</v>
      </c>
      <c r="V181" s="32" t="str">
        <f aca="false">HYPERLINK('Dados completos'!AN6,"Abrir")</f>
        <v>Abrir</v>
      </c>
    </row>
    <row r="182" customFormat="false" ht="45.75" hidden="false" customHeight="true" outlineLevel="0" collapsed="false">
      <c r="A182" s="24" t="n">
        <f aca="false">'Dados completos'!A58</f>
        <v>55</v>
      </c>
      <c r="B182" s="25" t="str">
        <f aca="false">'Dados completos'!AL58</f>
        <v>Candidatar (reach)</v>
      </c>
      <c r="C182" s="24" t="n">
        <f aca="false">'Dados completos'!Y58</f>
        <v>3.4</v>
      </c>
      <c r="D182" s="26" t="n">
        <f aca="false">'Dados completos'!AF58</f>
        <v>25.5</v>
      </c>
      <c r="E182" s="27" t="n">
        <f aca="false">'Dados completos'!AH58</f>
        <v>0.00706</v>
      </c>
      <c r="F182" s="28" t="str">
        <f aca="false">'Dados completos'!AI58</f>
        <v>Baixa</v>
      </c>
      <c r="G182" s="29" t="str">
        <f aca="false">'Dados completos'!B58</f>
        <v>Lazard</v>
      </c>
      <c r="H182" s="30" t="str">
        <f aca="false">'Dados completos'!C58</f>
        <v>Stage H/F, Private Equity, Janvier 2027</v>
      </c>
      <c r="I182" s="30" t="str">
        <f aca="false">'Dados completos'!E58</f>
        <v>Banca de investimento / boutique</v>
      </c>
      <c r="J182" s="24" t="str">
        <f aca="false">'Dados completos'!F58</f>
        <v>França</v>
      </c>
      <c r="K182" s="30" t="str">
        <f aca="false">'Dados completos'!G58</f>
        <v>Paris</v>
      </c>
      <c r="L182" s="30" t="str">
        <f aca="false">'Dados completos'!H58</f>
        <v>Não indicado (provável presencial)</v>
      </c>
      <c r="M182" s="30" t="str">
        <f aca="false">'Dados completos'!I58</f>
        <v>Jan 2027</v>
      </c>
      <c r="N182" s="31" t="str">
        <f aca="false">'Dados completos'!O58</f>
        <v>Não indicado</v>
      </c>
      <c r="O182" s="28" t="str">
        <f aca="false">'Dados completos'!V58</f>
        <v>Muito alta</v>
      </c>
      <c r="P182" s="30" t="str">
        <f aca="false">IF('Dados completos'!R58="","n/d",IF('Dados completos'!R58='Dados completos'!S58,TEXT('Dados completos'!R58,"#,##0"),TEXT('Dados completos'!R58,"#,##0")&amp;", "&amp;TEXT('Dados completos'!S58,"#,##0")))</f>
        <v>1,500, 2,500</v>
      </c>
      <c r="Q182" s="30" t="str">
        <f aca="false">'Dados completos'!M58</f>
        <v>Francês e inglês (ver oferta)</v>
      </c>
      <c r="R182" s="30" t="str">
        <f aca="false">'Dados completos'!AJ58</f>
        <v>Língua-chave FR (exigência 1); pede experiência prévia em IB/PE/consultoria, o CV mostrado não tem; exige mestrado em curso ou convenção de estágio, risco.</v>
      </c>
      <c r="S182" s="30" t="str">
        <f aca="false">'Dados completos'!AK58</f>
        <v>Por confirmar</v>
      </c>
      <c r="T182" s="24" t="str">
        <f aca="false">'Dados completos'!AP58</f>
        <v>Verificada na página</v>
      </c>
      <c r="U182" s="30" t="str">
        <f aca="false">'Dados completos'!AO58</f>
        <v>Direto (site/ATS da empresa)</v>
      </c>
      <c r="V182" s="32" t="str">
        <f aca="false">HYPERLINK('Dados completos'!AN58,"Abrir")</f>
        <v>Abrir</v>
      </c>
    </row>
    <row r="183" customFormat="false" ht="45.75" hidden="false" customHeight="true" outlineLevel="0" collapsed="false">
      <c r="A183" s="24" t="n">
        <f aca="false">'Dados completos'!A62</f>
        <v>59</v>
      </c>
      <c r="B183" s="25" t="str">
        <f aca="false">'Dados completos'!AL62</f>
        <v>Candidatar (reach)</v>
      </c>
      <c r="C183" s="24" t="n">
        <f aca="false">'Dados completos'!Y62</f>
        <v>3.4</v>
      </c>
      <c r="D183" s="26" t="n">
        <f aca="false">'Dados completos'!AF62</f>
        <v>25.5</v>
      </c>
      <c r="E183" s="27" t="n">
        <f aca="false">'Dados completos'!AH62</f>
        <v>0.00706</v>
      </c>
      <c r="F183" s="28" t="str">
        <f aca="false">'Dados completos'!AI62</f>
        <v>Baixa</v>
      </c>
      <c r="G183" s="29" t="str">
        <f aca="false">'Dados completos'!B62</f>
        <v>Rothschild &amp; Co</v>
      </c>
      <c r="H183" s="30" t="str">
        <f aca="false">'Dados completos'!C62</f>
        <v>Stage Analyste Private Equity Secondaire (FASO), Janvier/Mars 2027</v>
      </c>
      <c r="I183" s="30" t="str">
        <f aca="false">'Dados completos'!E62</f>
        <v>Banca de investimento / boutique</v>
      </c>
      <c r="J183" s="24" t="str">
        <f aca="false">'Dados completos'!F62</f>
        <v>França</v>
      </c>
      <c r="K183" s="30" t="str">
        <f aca="false">'Dados completos'!G62</f>
        <v>Paris</v>
      </c>
      <c r="L183" s="30" t="str">
        <f aca="false">'Dados completos'!H62</f>
        <v>Não indicado (provável presencial)</v>
      </c>
      <c r="M183" s="30" t="str">
        <f aca="false">'Dados completos'!I62</f>
        <v>Jan/Mar 2027</v>
      </c>
      <c r="N183" s="31" t="str">
        <f aca="false">'Dados completos'!O62</f>
        <v>Não indicado</v>
      </c>
      <c r="O183" s="28" t="str">
        <f aca="false">'Dados completos'!V62</f>
        <v>Muito alta</v>
      </c>
      <c r="P183" s="30" t="str">
        <f aca="false">IF('Dados completos'!R62="","n/d",IF('Dados completos'!R62='Dados completos'!S62,TEXT('Dados completos'!R62,"#,##0"),TEXT('Dados completos'!R62,"#,##0")&amp;", "&amp;TEXT('Dados completos'!S62,"#,##0")))</f>
        <v>1,500, 2,500</v>
      </c>
      <c r="Q183" s="30" t="str">
        <f aca="false">'Dados completos'!M62</f>
        <v>Francês e inglês (ver oferta)</v>
      </c>
      <c r="R183" s="30" t="str">
        <f aca="false">'Dados completos'!AJ62</f>
        <v>Língua-chave FR (exigência 1); pede experiência prévia em IB/PE/consultoria, o CV mostrado não tem; exige mestrado em curso ou convenção de estágio, risco.</v>
      </c>
      <c r="S183" s="30" t="str">
        <f aca="false">'Dados completos'!AK62</f>
        <v>Por confirmar</v>
      </c>
      <c r="T183" s="24" t="str">
        <f aca="false">'Dados completos'!AP62</f>
        <v>Parcial (agregador/título)</v>
      </c>
      <c r="U183" s="30" t="str">
        <f aca="false">'Dados completos'!AO62</f>
        <v>Direto (site/ATS da empresa)</v>
      </c>
      <c r="V183" s="32" t="str">
        <f aca="false">HYPERLINK('Dados completos'!AN62,"Abrir")</f>
        <v>Abrir</v>
      </c>
    </row>
    <row r="184" customFormat="false" ht="45.75" hidden="false" customHeight="true" outlineLevel="0" collapsed="false">
      <c r="A184" s="24" t="n">
        <f aca="false">'Dados completos'!A99</f>
        <v>96</v>
      </c>
      <c r="B184" s="25" t="str">
        <f aca="false">'Dados completos'!AL99</f>
        <v>Reserva</v>
      </c>
      <c r="C184" s="24" t="n">
        <f aca="false">'Dados completos'!Y99</f>
        <v>2.4</v>
      </c>
      <c r="D184" s="26" t="n">
        <f aca="false">'Dados completos'!AF99</f>
        <v>60.5</v>
      </c>
      <c r="E184" s="27" t="n">
        <f aca="false">'Dados completos'!AH99</f>
        <v>0.01126</v>
      </c>
      <c r="F184" s="28" t="str">
        <f aca="false">'Dados completos'!AI99</f>
        <v>Baixa</v>
      </c>
      <c r="G184" s="29" t="str">
        <f aca="false">'Dados completos'!B99</f>
        <v>Barclays</v>
      </c>
      <c r="H184" s="30" t="str">
        <f aca="false">'Dados completos'!C99</f>
        <v>Capital Markets Off-Cycle Internship Programme 2027 (Estocolmo)</v>
      </c>
      <c r="I184" s="30" t="str">
        <f aca="false">'Dados completos'!E99</f>
        <v>Banca de investimento</v>
      </c>
      <c r="J184" s="24" t="str">
        <f aca="false">'Dados completos'!F99</f>
        <v>Suécia</v>
      </c>
      <c r="K184" s="30" t="str">
        <f aca="false">'Dados completos'!G99</f>
        <v>Estocolmo</v>
      </c>
      <c r="L184" s="30" t="str">
        <f aca="false">'Dados completos'!H99</f>
        <v>Não indicado (provável presencial)</v>
      </c>
      <c r="M184" s="30" t="str">
        <f aca="false">'Dados completos'!I99</f>
        <v>2027 (mês por confirmar)</v>
      </c>
      <c r="N184" s="31" t="str">
        <f aca="false">'Dados completos'!O99</f>
        <v>Não indicado</v>
      </c>
      <c r="O184" s="28" t="str">
        <f aca="false">'Dados completos'!V99</f>
        <v>Muito alta</v>
      </c>
      <c r="P184" s="30" t="str">
        <f aca="false">IF('Dados completos'!R99="","n/d",IF('Dados completos'!R99='Dados completos'!S99,TEXT('Dados completos'!R99,"#,##0"),TEXT('Dados completos'!R99,"#,##0")&amp;", "&amp;TEXT('Dados completos'!S99,"#,##0")))</f>
        <v>2,000, 3,000</v>
      </c>
      <c r="Q184" s="30" t="str">
        <f aca="false">'Dados completos'!M99</f>
        <v>Inglês (ver oferta)</v>
      </c>
      <c r="R184" s="30" t="str">
        <f aca="false">'Dados completos'!AJ99</f>
        <v>Língua-chave EN (exigência 1); experiência prévia em finanças valorizada, CV tem pouca; exige mestrado em curso ou convenção de estágio, risco.</v>
      </c>
      <c r="S184" s="30" t="str">
        <f aca="false">'Dados completos'!AK99</f>
        <v>Por confirmar</v>
      </c>
      <c r="T184" s="24" t="str">
        <f aca="false">'Dados completos'!AP99</f>
        <v>Parcial (agregador/título)</v>
      </c>
      <c r="U184" s="30" t="str">
        <f aca="false">'Dados completos'!AO99</f>
        <v>Direto (site/ATS da empresa)</v>
      </c>
      <c r="V184" s="32" t="str">
        <f aca="false">HYPERLINK('Dados completos'!AN99,"Abrir")</f>
        <v>Abrir</v>
      </c>
    </row>
    <row r="185" customFormat="false" ht="45.75" hidden="false" customHeight="true" outlineLevel="0" collapsed="false">
      <c r="A185" s="24" t="n">
        <f aca="false">'Dados completos'!A112</f>
        <v>109</v>
      </c>
      <c r="B185" s="25" t="str">
        <f aca="false">'Dados completos'!AL112</f>
        <v>Reserva</v>
      </c>
      <c r="C185" s="24" t="n">
        <f aca="false">'Dados completos'!Y112</f>
        <v>2.4</v>
      </c>
      <c r="D185" s="26" t="n">
        <f aca="false">'Dados completos'!AF112</f>
        <v>57.5</v>
      </c>
      <c r="E185" s="27" t="n">
        <f aca="false">'Dados completos'!AH112</f>
        <v>0.0109</v>
      </c>
      <c r="F185" s="28" t="str">
        <f aca="false">'Dados completos'!AI112</f>
        <v>Baixa</v>
      </c>
      <c r="G185" s="29" t="str">
        <f aca="false">'Dados completos'!B112</f>
        <v>Goldman Sachs</v>
      </c>
      <c r="H185" s="30" t="str">
        <f aca="false">'Dados completos'!C112</f>
        <v>2027 Global Investment Research, Macro Research, Portfolio Strategy, Seasonal/Off-Cycle</v>
      </c>
      <c r="I185" s="30" t="str">
        <f aca="false">'Dados completos'!E112</f>
        <v>Banca de investimento</v>
      </c>
      <c r="J185" s="24" t="str">
        <f aca="false">'Dados completos'!F112</f>
        <v>Reino Unido</v>
      </c>
      <c r="K185" s="30" t="str">
        <f aca="false">'Dados completos'!G112</f>
        <v>Londres</v>
      </c>
      <c r="L185" s="30" t="str">
        <f aca="false">'Dados completos'!H112</f>
        <v>Não indicado (provável presencial)</v>
      </c>
      <c r="M185" s="30" t="str">
        <f aca="false">'Dados completos'!I112</f>
        <v>2027 (mês por confirmar)</v>
      </c>
      <c r="N185" s="31" t="str">
        <f aca="false">'Dados completos'!O112</f>
        <v>Não indicado</v>
      </c>
      <c r="O185" s="28" t="str">
        <f aca="false">'Dados completos'!V112</f>
        <v>Muito alta</v>
      </c>
      <c r="P185" s="30" t="str">
        <f aca="false">IF('Dados completos'!R112="","n/d",IF('Dados completos'!R112='Dados completos'!S112,TEXT('Dados completos'!R112,"#,##0"),TEXT('Dados completos'!R112,"#,##0")&amp;", "&amp;TEXT('Dados completos'!S112,"#,##0")))</f>
        <v>2,800, 4,000</v>
      </c>
      <c r="Q185" s="30" t="str">
        <f aca="false">'Dados completos'!M112</f>
        <v>Inglês (ver oferta)</v>
      </c>
      <c r="R185" s="30" t="str">
        <f aca="false">'Dados completos'!AJ112</f>
        <v>Língua-chave EN (exigência 1); pede experiência prévia em IB/PE/consultoria, o CV mostrado não tem; exige mestrado em curso ou convenção de estágio, risco.</v>
      </c>
      <c r="S185" s="30" t="str">
        <f aca="false">'Dados completos'!AK112</f>
        <v>Por confirmar</v>
      </c>
      <c r="T185" s="24" t="str">
        <f aca="false">'Dados completos'!AP112</f>
        <v>Parcial (agregador/título)</v>
      </c>
      <c r="U185" s="30" t="str">
        <f aca="false">'Dados completos'!AO112</f>
        <v>Direto (site/ATS da empresa)</v>
      </c>
      <c r="V185" s="32" t="str">
        <f aca="false">HYPERLINK('Dados completos'!AN112,"Abrir")</f>
        <v>Abrir</v>
      </c>
    </row>
    <row r="186" customFormat="false" ht="45.75" hidden="false" customHeight="true" outlineLevel="0" collapsed="false">
      <c r="A186" s="24" t="n">
        <f aca="false">'Dados completos'!A10</f>
        <v>7</v>
      </c>
      <c r="B186" s="25" t="str">
        <f aca="false">'Dados completos'!AL10</f>
        <v>Candidatar (reach)</v>
      </c>
      <c r="C186" s="24" t="n">
        <f aca="false">'Dados completos'!Y10</f>
        <v>3.4</v>
      </c>
      <c r="D186" s="26" t="n">
        <f aca="false">'Dados completos'!AF10</f>
        <v>19.5</v>
      </c>
      <c r="E186" s="27" t="n">
        <f aca="false">'Dados completos'!AH10</f>
        <v>0.00634</v>
      </c>
      <c r="F186" s="28" t="str">
        <f aca="false">'Dados completos'!AI10</f>
        <v>Baixa</v>
      </c>
      <c r="G186" s="29" t="str">
        <f aca="false">'Dados completos'!B10</f>
        <v>Houlihan Lokey</v>
      </c>
      <c r="H186" s="30" t="str">
        <f aca="false">'Dados completos'!C10</f>
        <v>Off-Cycle Internship, Primary Capital Advisory (PE Fundraising)</v>
      </c>
      <c r="I186" s="30" t="str">
        <f aca="false">'Dados completos'!E10</f>
        <v>Banca de investimento / boutique</v>
      </c>
      <c r="J186" s="24" t="str">
        <f aca="false">'Dados completos'!F10</f>
        <v>França</v>
      </c>
      <c r="K186" s="30" t="str">
        <f aca="false">'Dados completos'!G10</f>
        <v>Paris</v>
      </c>
      <c r="L186" s="30" t="str">
        <f aca="false">'Dados completos'!H10</f>
        <v>Não indicado (provável presencial)</v>
      </c>
      <c r="M186" s="30" t="str">
        <f aca="false">'Dados completos'!I10</f>
        <v>Jan 2027</v>
      </c>
      <c r="N186" s="31" t="str">
        <f aca="false">'Dados completos'!O10</f>
        <v>Não indicado</v>
      </c>
      <c r="O186" s="28" t="str">
        <f aca="false">'Dados completos'!V10</f>
        <v>Muito alta</v>
      </c>
      <c r="P186" s="30" t="str">
        <f aca="false">IF('Dados completos'!R10="","n/d",IF('Dados completos'!R10='Dados completos'!S10,TEXT('Dados completos'!R10,"#,##0"),TEXT('Dados completos'!R10,"#,##0")&amp;", "&amp;TEXT('Dados completos'!S10,"#,##0")))</f>
        <v>1,500, 2,500</v>
      </c>
      <c r="Q186" s="30" t="str">
        <f aca="false">'Dados completos'!M10</f>
        <v>Francês e inglês fluentes; espanhol/alemão é vantagem</v>
      </c>
      <c r="R186" s="30" t="str">
        <f aca="false">'Dados completos'!AJ10</f>
        <v>Língua-chave FR (exigência 1); pede experiência prévia em IB/PE/consultoria, o CV mostrado não tem; exige mestrado em curso ou convenção de estágio, risco.</v>
      </c>
      <c r="S186" s="30" t="str">
        <f aca="false">'Dados completos'!AK10</f>
        <v>Aberta (prazo não indicado)</v>
      </c>
      <c r="T186" s="24" t="str">
        <f aca="false">'Dados completos'!AP10</f>
        <v>Verificada na página</v>
      </c>
      <c r="U186" s="30" t="str">
        <f aca="false">'Dados completos'!AO10</f>
        <v>Direto (site/ATS da empresa)</v>
      </c>
      <c r="V186" s="32" t="str">
        <f aca="false">HYPERLINK('Dados completos'!AN10,"Abrir")</f>
        <v>Abrir</v>
      </c>
    </row>
    <row r="187" customFormat="false" ht="45.75" hidden="false" customHeight="true" outlineLevel="0" collapsed="false">
      <c r="A187" s="24" t="n">
        <f aca="false">'Dados completos'!A144</f>
        <v>141</v>
      </c>
      <c r="B187" s="25" t="str">
        <f aca="false">'Dados completos'!AL144</f>
        <v>Reserva</v>
      </c>
      <c r="C187" s="24" t="n">
        <f aca="false">'Dados completos'!Y144</f>
        <v>2.4</v>
      </c>
      <c r="D187" s="26" t="n">
        <f aca="false">'Dados completos'!AF144</f>
        <v>53.45</v>
      </c>
      <c r="E187" s="27" t="n">
        <f aca="false">'Dados completos'!AH144</f>
        <v>0.010414</v>
      </c>
      <c r="F187" s="28" t="str">
        <f aca="false">'Dados completos'!AI144</f>
        <v>Baixa</v>
      </c>
      <c r="G187" s="29" t="str">
        <f aca="false">'Dados completos'!B144</f>
        <v>J.P. Morgan</v>
      </c>
      <c r="H187" s="30" t="str">
        <f aca="false">'Dados completos'!C144</f>
        <v>2027 Global Corporate Banking, Mid-Cap, Off-Cycle Internship (Zurique)</v>
      </c>
      <c r="I187" s="30" t="str">
        <f aca="false">'Dados completos'!E144</f>
        <v>Banca de investimento</v>
      </c>
      <c r="J187" s="24" t="str">
        <f aca="false">'Dados completos'!F144</f>
        <v>Suíça</v>
      </c>
      <c r="K187" s="30" t="str">
        <f aca="false">'Dados completos'!G144</f>
        <v>Zurique</v>
      </c>
      <c r="L187" s="30" t="str">
        <f aca="false">'Dados completos'!H144</f>
        <v>Não indicado (provável presencial)</v>
      </c>
      <c r="M187" s="30" t="str">
        <f aca="false">'Dados completos'!I144</f>
        <v>2027 (mês por confirmar)</v>
      </c>
      <c r="N187" s="31" t="str">
        <f aca="false">'Dados completos'!O144</f>
        <v>Não indicado</v>
      </c>
      <c r="O187" s="28" t="str">
        <f aca="false">'Dados completos'!V144</f>
        <v>Muito alta</v>
      </c>
      <c r="P187" s="30" t="str">
        <f aca="false">IF('Dados completos'!R144="","n/d",IF('Dados completos'!R144='Dados completos'!S144,TEXT('Dados completos'!R144,"#,##0"),TEXT('Dados completos'!R144,"#,##0")&amp;", "&amp;TEXT('Dados completos'!S144,"#,##0")))</f>
        <v>3,000, 4,500</v>
      </c>
      <c r="Q187" s="30" t="str">
        <f aca="false">'Dados completos'!M144</f>
        <v>Inglês (ver oferta)</v>
      </c>
      <c r="R187" s="30" t="str">
        <f aca="false">'Dados completos'!AJ144</f>
        <v>Língua-chave DE (exigência 0.3); experiência prévia em finanças valorizada, CV tem pouca; exige mestrado em curso ou convenção de estágio, risco.</v>
      </c>
      <c r="S187" s="30" t="str">
        <f aca="false">'Dados completos'!AK144</f>
        <v>Por confirmar</v>
      </c>
      <c r="T187" s="24" t="str">
        <f aca="false">'Dados completos'!AP144</f>
        <v>Parcial (agregador/título)</v>
      </c>
      <c r="U187" s="30" t="str">
        <f aca="false">'Dados completos'!AO144</f>
        <v>Anúncio em plataforma</v>
      </c>
      <c r="V187" s="32" t="str">
        <f aca="false">HYPERLINK('Dados completos'!AN144,"Abrir")</f>
        <v>Abrir</v>
      </c>
    </row>
    <row r="188" customFormat="false" ht="45.75" hidden="false" customHeight="true" outlineLevel="0" collapsed="false">
      <c r="A188" s="24" t="n">
        <f aca="false">'Dados completos'!A57</f>
        <v>54</v>
      </c>
      <c r="B188" s="25" t="str">
        <f aca="false">'Dados completos'!AL57</f>
        <v>Reserva</v>
      </c>
      <c r="C188" s="24" t="n">
        <f aca="false">'Dados completos'!Y57</f>
        <v>2.8</v>
      </c>
      <c r="D188" s="26" t="n">
        <f aca="false">'Dados completos'!AF57</f>
        <v>31.2</v>
      </c>
      <c r="E188" s="27" t="n">
        <f aca="false">'Dados completos'!AH57</f>
        <v>0.007744</v>
      </c>
      <c r="F188" s="28" t="str">
        <f aca="false">'Dados completos'!AI57</f>
        <v>Baixa</v>
      </c>
      <c r="G188" s="29" t="str">
        <f aca="false">'Dados completos'!B57</f>
        <v>Lazard</v>
      </c>
      <c r="H188" s="30" t="str">
        <f aca="false">'Dados completos'!C57</f>
        <v>Internship, Private Capital Advisory (PCA) Secondaries, January 2027</v>
      </c>
      <c r="I188" s="30" t="str">
        <f aca="false">'Dados completos'!E57</f>
        <v>Banca de investimento / boutique</v>
      </c>
      <c r="J188" s="24" t="str">
        <f aca="false">'Dados completos'!F57</f>
        <v>França</v>
      </c>
      <c r="K188" s="30" t="str">
        <f aca="false">'Dados completos'!G57</f>
        <v>Paris</v>
      </c>
      <c r="L188" s="30" t="str">
        <f aca="false">'Dados completos'!H57</f>
        <v>Não indicado (provável presencial)</v>
      </c>
      <c r="M188" s="30" t="str">
        <f aca="false">'Dados completos'!I57</f>
        <v>Jan 2027</v>
      </c>
      <c r="N188" s="31" t="str">
        <f aca="false">'Dados completos'!O57</f>
        <v>Não indicado</v>
      </c>
      <c r="O188" s="28" t="str">
        <f aca="false">'Dados completos'!V57</f>
        <v>Muito alta</v>
      </c>
      <c r="P188" s="30" t="str">
        <f aca="false">IF('Dados completos'!R57="","n/d",IF('Dados completos'!R57='Dados completos'!S57,TEXT('Dados completos'!R57,"#,##0"),TEXT('Dados completos'!R57,"#,##0")&amp;", "&amp;TEXT('Dados completos'!S57,"#,##0")))</f>
        <v>1,500, 2,500</v>
      </c>
      <c r="Q188" s="30" t="str">
        <f aca="false">'Dados completos'!M57</f>
        <v>Francês e inglês (ver oferta)</v>
      </c>
      <c r="R188" s="30" t="str">
        <f aca="false">'Dados completos'!AJ57</f>
        <v>Língua-chave FR (exigência 0.8); pede experiência prévia em IB/PE/consultoria, o CV mostrado não tem; exige mestrado em curso ou convenção de estágio, risco.</v>
      </c>
      <c r="S188" s="30" t="str">
        <f aca="false">'Dados completos'!AK57</f>
        <v>Por confirmar</v>
      </c>
      <c r="T188" s="24" t="str">
        <f aca="false">'Dados completos'!AP57</f>
        <v>Parcial (agregador/título)</v>
      </c>
      <c r="U188" s="30" t="str">
        <f aca="false">'Dados completos'!AO57</f>
        <v>Direto (site/ATS da empresa)</v>
      </c>
      <c r="V188" s="32" t="str">
        <f aca="false">HYPERLINK('Dados completos'!AN57,"Abrir")</f>
        <v>Abrir</v>
      </c>
    </row>
    <row r="189" customFormat="false" ht="45.75" hidden="false" customHeight="true" outlineLevel="0" collapsed="false">
      <c r="A189" s="24" t="n">
        <f aca="false">'Dados completos'!A45</f>
        <v>42</v>
      </c>
      <c r="B189" s="25" t="str">
        <f aca="false">'Dados completos'!AL45</f>
        <v>Reserva</v>
      </c>
      <c r="C189" s="24" t="n">
        <f aca="false">'Dados completos'!Y45</f>
        <v>2.8</v>
      </c>
      <c r="D189" s="26" t="n">
        <f aca="false">'Dados completos'!AF45</f>
        <v>30</v>
      </c>
      <c r="E189" s="27" t="n">
        <f aca="false">'Dados completos'!AH45</f>
        <v>0.0076</v>
      </c>
      <c r="F189" s="28" t="str">
        <f aca="false">'Dados completos'!AI45</f>
        <v>Baixa</v>
      </c>
      <c r="G189" s="29" t="str">
        <f aca="false">'Dados completos'!B45</f>
        <v>Ardian</v>
      </c>
      <c r="H189" s="30" t="str">
        <f aca="false">'Dados completos'!C45</f>
        <v>Private Equity Real Estate Stage, Mars 2027</v>
      </c>
      <c r="I189" s="30" t="str">
        <f aca="false">'Dados completos'!E45</f>
        <v>VC / private equity</v>
      </c>
      <c r="J189" s="24" t="str">
        <f aca="false">'Dados completos'!F45</f>
        <v>França</v>
      </c>
      <c r="K189" s="30" t="str">
        <f aca="false">'Dados completos'!G45</f>
        <v>Paris</v>
      </c>
      <c r="L189" s="30" t="str">
        <f aca="false">'Dados completos'!H45</f>
        <v>Não indicado (provável presencial)</v>
      </c>
      <c r="M189" s="30" t="str">
        <f aca="false">'Dados completos'!I45</f>
        <v>Mar 2027 (não é janeiro)</v>
      </c>
      <c r="N189" s="31" t="str">
        <f aca="false">'Dados completos'!O45</f>
        <v>Não indicado</v>
      </c>
      <c r="O189" s="28" t="str">
        <f aca="false">'Dados completos'!V45</f>
        <v>Muito alta</v>
      </c>
      <c r="P189" s="30" t="str">
        <f aca="false">IF('Dados completos'!R45="","n/d",IF('Dados completos'!R45='Dados completos'!S45,TEXT('Dados completos'!R45,"#,##0"),TEXT('Dados completos'!R45,"#,##0")&amp;", "&amp;TEXT('Dados completos'!S45,"#,##0")))</f>
        <v>1,500, 2,500</v>
      </c>
      <c r="Q189" s="30" t="str">
        <f aca="false">'Dados completos'!M45</f>
        <v>Francês e inglês (ver oferta)</v>
      </c>
      <c r="R189" s="30" t="str">
        <f aca="false">'Dados completos'!AJ45</f>
        <v>Língua-chave FR (exigência 1); experiência prévia em finanças valorizada, CV tem pouca; exige mestrado em curso ou convenção de estágio, risco.</v>
      </c>
      <c r="S189" s="30" t="str">
        <f aca="false">'Dados completos'!AK45</f>
        <v>Por confirmar</v>
      </c>
      <c r="T189" s="24" t="str">
        <f aca="false">'Dados completos'!AP45</f>
        <v>Parcial (agregador/título)</v>
      </c>
      <c r="U189" s="30" t="str">
        <f aca="false">'Dados completos'!AO45</f>
        <v>Direto (site/ATS da empresa)</v>
      </c>
      <c r="V189" s="32" t="str">
        <f aca="false">HYPERLINK('Dados completos'!AN45,"Abrir")</f>
        <v>Abrir</v>
      </c>
    </row>
    <row r="190" customFormat="false" ht="45.75" hidden="false" customHeight="true" outlineLevel="0" collapsed="false">
      <c r="A190" s="24" t="n">
        <f aca="false">'Dados completos'!A46</f>
        <v>43</v>
      </c>
      <c r="B190" s="25" t="str">
        <f aca="false">'Dados completos'!AL46</f>
        <v>Reserva</v>
      </c>
      <c r="C190" s="24" t="n">
        <f aca="false">'Dados completos'!Y46</f>
        <v>2.8</v>
      </c>
      <c r="D190" s="26" t="n">
        <f aca="false">'Dados completos'!AF46</f>
        <v>30</v>
      </c>
      <c r="E190" s="27" t="n">
        <f aca="false">'Dados completos'!AH46</f>
        <v>0.0076</v>
      </c>
      <c r="F190" s="28" t="str">
        <f aca="false">'Dados completos'!AI46</f>
        <v>Baixa</v>
      </c>
      <c r="G190" s="29" t="str">
        <f aca="false">'Dados completos'!B46</f>
        <v>Ardian</v>
      </c>
      <c r="H190" s="30" t="str">
        <f aca="false">'Dados completos'!C46</f>
        <v>Private Equity Infrastructure Stage, Janvier 2027</v>
      </c>
      <c r="I190" s="30" t="str">
        <f aca="false">'Dados completos'!E46</f>
        <v>VC / private equity</v>
      </c>
      <c r="J190" s="24" t="str">
        <f aca="false">'Dados completos'!F46</f>
        <v>França</v>
      </c>
      <c r="K190" s="30" t="str">
        <f aca="false">'Dados completos'!G46</f>
        <v>Paris</v>
      </c>
      <c r="L190" s="30" t="str">
        <f aca="false">'Dados completos'!H46</f>
        <v>Não indicado (provável presencial)</v>
      </c>
      <c r="M190" s="30" t="str">
        <f aca="false">'Dados completos'!I46</f>
        <v>Jan 2027</v>
      </c>
      <c r="N190" s="31" t="str">
        <f aca="false">'Dados completos'!O46</f>
        <v>Não indicado</v>
      </c>
      <c r="O190" s="28" t="str">
        <f aca="false">'Dados completos'!V46</f>
        <v>Muito alta</v>
      </c>
      <c r="P190" s="30" t="str">
        <f aca="false">IF('Dados completos'!R46="","n/d",IF('Dados completos'!R46='Dados completos'!S46,TEXT('Dados completos'!R46,"#,##0"),TEXT('Dados completos'!R46,"#,##0")&amp;", "&amp;TEXT('Dados completos'!S46,"#,##0")))</f>
        <v>1,500, 2,500</v>
      </c>
      <c r="Q190" s="30" t="str">
        <f aca="false">'Dados completos'!M46</f>
        <v>Francês e inglês (ver oferta)</v>
      </c>
      <c r="R190" s="30" t="str">
        <f aca="false">'Dados completos'!AJ46</f>
        <v>Língua-chave FR (exigência 1); experiência prévia em finanças valorizada, CV tem pouca; exige mestrado em curso ou convenção de estágio, risco.</v>
      </c>
      <c r="S190" s="30" t="str">
        <f aca="false">'Dados completos'!AK46</f>
        <v>Por confirmar</v>
      </c>
      <c r="T190" s="24" t="str">
        <f aca="false">'Dados completos'!AP46</f>
        <v>Parcial (agregador/título)</v>
      </c>
      <c r="U190" s="30" t="str">
        <f aca="false">'Dados completos'!AO46</f>
        <v>Anúncio em plataforma</v>
      </c>
      <c r="V190" s="32" t="str">
        <f aca="false">HYPERLINK('Dados completos'!AN46,"Abrir")</f>
        <v>Abrir</v>
      </c>
    </row>
    <row r="191" customFormat="false" ht="45.75" hidden="false" customHeight="true" outlineLevel="0" collapsed="false">
      <c r="A191" s="24" t="n">
        <f aca="false">'Dados completos'!A96</f>
        <v>93</v>
      </c>
      <c r="B191" s="25" t="str">
        <f aca="false">'Dados completos'!AL96</f>
        <v>Reserva</v>
      </c>
      <c r="C191" s="24" t="n">
        <f aca="false">'Dados completos'!Y96</f>
        <v>2.3</v>
      </c>
      <c r="D191" s="26" t="n">
        <f aca="false">'Dados completos'!AF96</f>
        <v>50.6</v>
      </c>
      <c r="E191" s="27" t="n">
        <f aca="false">'Dados completos'!AH96</f>
        <v>0.010072</v>
      </c>
      <c r="F191" s="28" t="str">
        <f aca="false">'Dados completos'!AI96</f>
        <v>Baixa</v>
      </c>
      <c r="G191" s="29" t="str">
        <f aca="false">'Dados completos'!B96</f>
        <v>Barclays</v>
      </c>
      <c r="H191" s="30" t="str">
        <f aca="false">'Dados completos'!C96</f>
        <v>Capital Markets Off-Cycle Internship Programme 2027 (Frankfurt)</v>
      </c>
      <c r="I191" s="30" t="str">
        <f aca="false">'Dados completos'!E96</f>
        <v>Banca de investimento</v>
      </c>
      <c r="J191" s="24" t="str">
        <f aca="false">'Dados completos'!F96</f>
        <v>Alemanha</v>
      </c>
      <c r="K191" s="30" t="str">
        <f aca="false">'Dados completos'!G96</f>
        <v>Frankfurt</v>
      </c>
      <c r="L191" s="30" t="str">
        <f aca="false">'Dados completos'!H96</f>
        <v>Não indicado (provável presencial)</v>
      </c>
      <c r="M191" s="30" t="str">
        <f aca="false">'Dados completos'!I96</f>
        <v>2027 (mês por confirmar)</v>
      </c>
      <c r="N191" s="31" t="str">
        <f aca="false">'Dados completos'!O96</f>
        <v>Não indicado</v>
      </c>
      <c r="O191" s="28" t="str">
        <f aca="false">'Dados completos'!V96</f>
        <v>Muito alta</v>
      </c>
      <c r="P191" s="30" t="str">
        <f aca="false">IF('Dados completos'!R96="","n/d",IF('Dados completos'!R96='Dados completos'!S96,TEXT('Dados completos'!R96,"#,##0"),TEXT('Dados completos'!R96,"#,##0")&amp;", "&amp;TEXT('Dados completos'!S96,"#,##0")))</f>
        <v>1,800, 2,800</v>
      </c>
      <c r="Q191" s="30" t="str">
        <f aca="false">'Dados completos'!M96</f>
        <v>Inglês (ver oferta)</v>
      </c>
      <c r="R191" s="30" t="str">
        <f aca="false">'Dados completos'!AJ96</f>
        <v>Língua-chave DE (exigência 0.4); experiência prévia em finanças valorizada, CV tem pouca; exige mestrado em curso ou convenção de estágio, risco.</v>
      </c>
      <c r="S191" s="30" t="str">
        <f aca="false">'Dados completos'!AK96</f>
        <v>Por confirmar</v>
      </c>
      <c r="T191" s="24" t="str">
        <f aca="false">'Dados completos'!AP96</f>
        <v>Parcial (agregador/título)</v>
      </c>
      <c r="U191" s="30" t="str">
        <f aca="false">'Dados completos'!AO96</f>
        <v>Direto (site/ATS da empresa)</v>
      </c>
      <c r="V191" s="32" t="str">
        <f aca="false">HYPERLINK('Dados completos'!AN96,"Abrir")</f>
        <v>Abrir</v>
      </c>
    </row>
    <row r="192" customFormat="false" ht="45.75" hidden="false" customHeight="true" outlineLevel="0" collapsed="false">
      <c r="A192" s="24" t="n">
        <f aca="false">'Dados completos'!A97</f>
        <v>94</v>
      </c>
      <c r="B192" s="25" t="str">
        <f aca="false">'Dados completos'!AL97</f>
        <v>Reserva</v>
      </c>
      <c r="C192" s="24" t="n">
        <f aca="false">'Dados completos'!Y97</f>
        <v>2.3</v>
      </c>
      <c r="D192" s="26" t="n">
        <f aca="false">'Dados completos'!AF97</f>
        <v>49.4</v>
      </c>
      <c r="E192" s="27" t="n">
        <f aca="false">'Dados completos'!AH97</f>
        <v>0.009928</v>
      </c>
      <c r="F192" s="28" t="str">
        <f aca="false">'Dados completos'!AI97</f>
        <v>Baixa</v>
      </c>
      <c r="G192" s="29" t="str">
        <f aca="false">'Dados completos'!B97</f>
        <v>Barclays</v>
      </c>
      <c r="H192" s="30" t="str">
        <f aca="false">'Dados completos'!C97</f>
        <v>Capital Markets Off-Cycle Internship Programme 2027 (Milão)</v>
      </c>
      <c r="I192" s="30" t="str">
        <f aca="false">'Dados completos'!E97</f>
        <v>Banca de investimento</v>
      </c>
      <c r="J192" s="24" t="str">
        <f aca="false">'Dados completos'!F97</f>
        <v>Itália</v>
      </c>
      <c r="K192" s="30" t="str">
        <f aca="false">'Dados completos'!G97</f>
        <v>Milão</v>
      </c>
      <c r="L192" s="30" t="str">
        <f aca="false">'Dados completos'!H97</f>
        <v>Não indicado (provável presencial)</v>
      </c>
      <c r="M192" s="30" t="str">
        <f aca="false">'Dados completos'!I97</f>
        <v>2027 (mês por confirmar)</v>
      </c>
      <c r="N192" s="31" t="str">
        <f aca="false">'Dados completos'!O97</f>
        <v>Não indicado</v>
      </c>
      <c r="O192" s="28" t="str">
        <f aca="false">'Dados completos'!V97</f>
        <v>Muito alta</v>
      </c>
      <c r="P192" s="30" t="str">
        <f aca="false">IF('Dados completos'!R97="","n/d",IF('Dados completos'!R97='Dados completos'!S97,TEXT('Dados completos'!R97,"#,##0"),TEXT('Dados completos'!R97,"#,##0")&amp;", "&amp;TEXT('Dados completos'!S97,"#,##0")))</f>
        <v>800, 1,500</v>
      </c>
      <c r="Q192" s="30" t="str">
        <f aca="false">'Dados completos'!M97</f>
        <v>Italiano e inglês (ver oferta)</v>
      </c>
      <c r="R192" s="30" t="str">
        <f aca="false">'Dados completos'!AJ97</f>
        <v>Língua-chave IT (exigência 0.6); experiência prévia em finanças valorizada, CV tem pouca; exige mestrado em curso ou convenção de estágio, risco.</v>
      </c>
      <c r="S192" s="30" t="str">
        <f aca="false">'Dados completos'!AK97</f>
        <v>Por confirmar</v>
      </c>
      <c r="T192" s="24" t="str">
        <f aca="false">'Dados completos'!AP97</f>
        <v>Parcial (agregador/título)</v>
      </c>
      <c r="U192" s="30" t="str">
        <f aca="false">'Dados completos'!AO97</f>
        <v>Direto (site/ATS da empresa)</v>
      </c>
      <c r="V192" s="32" t="str">
        <f aca="false">HYPERLINK('Dados completos'!AN97,"Abrir")</f>
        <v>Abrir</v>
      </c>
    </row>
    <row r="193" customFormat="false" ht="45.75" hidden="false" customHeight="true" outlineLevel="0" collapsed="false">
      <c r="A193" s="24" t="n">
        <f aca="false">'Dados completos'!A74</f>
        <v>71</v>
      </c>
      <c r="B193" s="25" t="str">
        <f aca="false">'Dados completos'!AL74</f>
        <v>Reserva</v>
      </c>
      <c r="C193" s="24" t="n">
        <f aca="false">'Dados completos'!Y74</f>
        <v>2.1</v>
      </c>
      <c r="D193" s="26" t="n">
        <f aca="false">'Dados completos'!AF74</f>
        <v>64.1</v>
      </c>
      <c r="E193" s="27" t="n">
        <f aca="false">'Dados completos'!AH74</f>
        <v>0.011692</v>
      </c>
      <c r="F193" s="28" t="str">
        <f aca="false">'Dados completos'!AI74</f>
        <v>Baixa</v>
      </c>
      <c r="G193" s="29" t="str">
        <f aca="false">'Dados completos'!B74</f>
        <v>PAI Partners</v>
      </c>
      <c r="H193" s="30" t="str">
        <f aca="false">'Dados completos'!C74</f>
        <v>ESG internship Paris (6 meses desde janeiro 2027)</v>
      </c>
      <c r="I193" s="30" t="str">
        <f aca="false">'Dados completos'!E74</f>
        <v>VC / private equity</v>
      </c>
      <c r="J193" s="24" t="str">
        <f aca="false">'Dados completos'!F74</f>
        <v>França</v>
      </c>
      <c r="K193" s="30" t="str">
        <f aca="false">'Dados completos'!G74</f>
        <v>Paris</v>
      </c>
      <c r="L193" s="30" t="str">
        <f aca="false">'Dados completos'!H74</f>
        <v>Não indicado (provável presencial)</v>
      </c>
      <c r="M193" s="30" t="str">
        <f aca="false">'Dados completos'!I74</f>
        <v>Jan 2027</v>
      </c>
      <c r="N193" s="31" t="str">
        <f aca="false">'Dados completos'!O74</f>
        <v>Não indicado</v>
      </c>
      <c r="O193" s="28" t="str">
        <f aca="false">'Dados completos'!V74</f>
        <v>Muito alta</v>
      </c>
      <c r="P193" s="30" t="str">
        <f aca="false">IF('Dados completos'!R74="","n/d",IF('Dados completos'!R74='Dados completos'!S74,TEXT('Dados completos'!R74,"#,##0"),TEXT('Dados completos'!R74,"#,##0")&amp;", "&amp;TEXT('Dados completos'!S74,"#,##0")))</f>
        <v>1,500, 2,500</v>
      </c>
      <c r="Q193" s="30" t="str">
        <f aca="false">'Dados completos'!M74</f>
        <v>Inglês (ver oferta)</v>
      </c>
      <c r="R193" s="30" t="str">
        <f aca="false">'Dados completos'!AJ74</f>
        <v>Língua-chave EN (exigência 0.6); experiência prévia em finanças valorizada, CV tem pouca; exige mestrado em curso ou convenção de estágio, risco.</v>
      </c>
      <c r="S193" s="30" t="str">
        <f aca="false">'Dados completos'!AK74</f>
        <v>Por confirmar</v>
      </c>
      <c r="T193" s="24" t="str">
        <f aca="false">'Dados completos'!AP74</f>
        <v>Parcial (agregador/título)</v>
      </c>
      <c r="U193" s="30" t="str">
        <f aca="false">'Dados completos'!AO74</f>
        <v>Direto (site/ATS da empresa)</v>
      </c>
      <c r="V193" s="32" t="str">
        <f aca="false">HYPERLINK('Dados completos'!AN74,"Abrir")</f>
        <v>Abrir</v>
      </c>
    </row>
    <row r="194" customFormat="false" ht="45.75" hidden="false" customHeight="true" outlineLevel="0" collapsed="false">
      <c r="A194" s="24" t="n">
        <f aca="false">'Dados completos'!A124</f>
        <v>121</v>
      </c>
      <c r="B194" s="25" t="str">
        <f aca="false">'Dados completos'!AL124</f>
        <v>Reserva</v>
      </c>
      <c r="C194" s="24" t="n">
        <f aca="false">'Dados completos'!Y124</f>
        <v>2.8</v>
      </c>
      <c r="D194" s="26" t="n">
        <f aca="false">'Dados completos'!AF124</f>
        <v>27.5</v>
      </c>
      <c r="E194" s="27" t="n">
        <f aca="false">'Dados completos'!AH124</f>
        <v>0.0073</v>
      </c>
      <c r="F194" s="28" t="str">
        <f aca="false">'Dados completos'!AI124</f>
        <v>Baixa</v>
      </c>
      <c r="G194" s="29" t="str">
        <f aca="false">'Dados completos'!B124</f>
        <v>Houlihan Lokey</v>
      </c>
      <c r="H194" s="30" t="str">
        <f aca="false">'Dados completos'!C124</f>
        <v>6-Month Off-Cycle Internship, Corporate Finance (M&amp;A), Jan/Mar 2027 (Paris)</v>
      </c>
      <c r="I194" s="30" t="str">
        <f aca="false">'Dados completos'!E124</f>
        <v>Banca de investimento / boutique</v>
      </c>
      <c r="J194" s="24" t="str">
        <f aca="false">'Dados completos'!F124</f>
        <v>França</v>
      </c>
      <c r="K194" s="30" t="str">
        <f aca="false">'Dados completos'!G124</f>
        <v>Paris</v>
      </c>
      <c r="L194" s="30" t="str">
        <f aca="false">'Dados completos'!H124</f>
        <v>Não indicado (provável presencial)</v>
      </c>
      <c r="M194" s="30" t="str">
        <f aca="false">'Dados completos'!I124</f>
        <v>Jan ou Mar 2027</v>
      </c>
      <c r="N194" s="31" t="str">
        <f aca="false">'Dados completos'!O124</f>
        <v>Não indicado</v>
      </c>
      <c r="O194" s="28" t="str">
        <f aca="false">'Dados completos'!V124</f>
        <v>Muito alta</v>
      </c>
      <c r="P194" s="30" t="str">
        <f aca="false">IF('Dados completos'!R124="","n/d",IF('Dados completos'!R124='Dados completos'!S124,TEXT('Dados completos'!R124,"#,##0"),TEXT('Dados completos'!R124,"#,##0")&amp;", "&amp;TEXT('Dados completos'!S124,"#,##0")))</f>
        <v>1,500, 2,500</v>
      </c>
      <c r="Q194" s="30" t="str">
        <f aca="false">'Dados completos'!M124</f>
        <v>Francês e inglês fluentes (obrigatório)</v>
      </c>
      <c r="R194" s="30" t="str">
        <f aca="false">'Dados completos'!AJ124</f>
        <v>Língua-chave FR (exigência 1); pede experiência prévia em IB/PE/consultoria, o CV mostrado não tem; exige mestrado em curso ou convenção de estágio, risco.</v>
      </c>
      <c r="S194" s="30" t="str">
        <f aca="false">'Dados completos'!AK124</f>
        <v>Aberta (prazo não indicado)</v>
      </c>
      <c r="T194" s="24" t="str">
        <f aca="false">'Dados completos'!AP124</f>
        <v>Verificada na página</v>
      </c>
      <c r="U194" s="30" t="str">
        <f aca="false">'Dados completos'!AO124</f>
        <v>Direto (site/ATS da empresa)</v>
      </c>
      <c r="V194" s="32" t="str">
        <f aca="false">HYPERLINK('Dados completos'!AN124,"Abrir")</f>
        <v>Abrir</v>
      </c>
    </row>
    <row r="195" customFormat="false" ht="45.75" hidden="false" customHeight="true" outlineLevel="0" collapsed="false">
      <c r="A195" s="24" t="n">
        <f aca="false">'Dados completos'!A143</f>
        <v>140</v>
      </c>
      <c r="B195" s="25" t="str">
        <f aca="false">'Dados completos'!AL143</f>
        <v>Reserva</v>
      </c>
      <c r="C195" s="24" t="n">
        <f aca="false">'Dados completos'!Y143</f>
        <v>2.3</v>
      </c>
      <c r="D195" s="26" t="n">
        <f aca="false">'Dados completos'!AF143</f>
        <v>47.75</v>
      </c>
      <c r="E195" s="27" t="n">
        <f aca="false">'Dados completos'!AH143</f>
        <v>0.00973</v>
      </c>
      <c r="F195" s="28" t="str">
        <f aca="false">'Dados completos'!AI143</f>
        <v>Baixa</v>
      </c>
      <c r="G195" s="29" t="str">
        <f aca="false">'Dados completos'!B143</f>
        <v>J.P. Morgan</v>
      </c>
      <c r="H195" s="30" t="str">
        <f aca="false">'Dados completos'!C143</f>
        <v>2027 Global Corporate Banking, Mid-Cap, Off-Cycle Internship (Paris)</v>
      </c>
      <c r="I195" s="30" t="str">
        <f aca="false">'Dados completos'!E143</f>
        <v>Banca de investimento</v>
      </c>
      <c r="J195" s="24" t="str">
        <f aca="false">'Dados completos'!F143</f>
        <v>França</v>
      </c>
      <c r="K195" s="30" t="str">
        <f aca="false">'Dados completos'!G143</f>
        <v>Paris</v>
      </c>
      <c r="L195" s="30" t="str">
        <f aca="false">'Dados completos'!H143</f>
        <v>Não indicado (provável presencial)</v>
      </c>
      <c r="M195" s="30" t="str">
        <f aca="false">'Dados completos'!I143</f>
        <v>2027 (mês por confirmar)</v>
      </c>
      <c r="N195" s="31" t="str">
        <f aca="false">'Dados completos'!O143</f>
        <v>Não indicado</v>
      </c>
      <c r="O195" s="28" t="str">
        <f aca="false">'Dados completos'!V143</f>
        <v>Muito alta</v>
      </c>
      <c r="P195" s="30" t="str">
        <f aca="false">IF('Dados completos'!R143="","n/d",IF('Dados completos'!R143='Dados completos'!S143,TEXT('Dados completos'!R143,"#,##0"),TEXT('Dados completos'!R143,"#,##0")&amp;", "&amp;TEXT('Dados completos'!S143,"#,##0")))</f>
        <v>1,500, 2,500</v>
      </c>
      <c r="Q195" s="30" t="str">
        <f aca="false">'Dados completos'!M143</f>
        <v>Francês e inglês (ver oferta)</v>
      </c>
      <c r="R195" s="30" t="str">
        <f aca="false">'Dados completos'!AJ143</f>
        <v>Língua-chave FR (exigência 0.5); experiência prévia em finanças valorizada, CV tem pouca; exige mestrado em curso ou convenção de estágio, risco.</v>
      </c>
      <c r="S195" s="30" t="str">
        <f aca="false">'Dados completos'!AK143</f>
        <v>Por confirmar</v>
      </c>
      <c r="T195" s="24" t="str">
        <f aca="false">'Dados completos'!AP143</f>
        <v>Parcial (agregador/título)</v>
      </c>
      <c r="U195" s="30" t="str">
        <f aca="false">'Dados completos'!AO143</f>
        <v>Anúncio em plataforma</v>
      </c>
      <c r="V195" s="32" t="str">
        <f aca="false">HYPERLINK('Dados completos'!AN143,"Abrir")</f>
        <v>Abrir</v>
      </c>
    </row>
    <row r="196" customFormat="false" ht="45.75" hidden="false" customHeight="true" outlineLevel="0" collapsed="false">
      <c r="A196" s="24" t="n">
        <f aca="false">'Dados completos'!A78</f>
        <v>75</v>
      </c>
      <c r="B196" s="25" t="str">
        <f aca="false">'Dados completos'!AL78</f>
        <v>Reserva</v>
      </c>
      <c r="C196" s="24" t="n">
        <f aca="false">'Dados completos'!Y78</f>
        <v>2.1</v>
      </c>
      <c r="D196" s="26" t="n">
        <f aca="false">'Dados completos'!AF78</f>
        <v>63.5</v>
      </c>
      <c r="E196" s="27" t="n">
        <f aca="false">'Dados completos'!AH78</f>
        <v>0.01162</v>
      </c>
      <c r="F196" s="28" t="str">
        <f aca="false">'Dados completos'!AI78</f>
        <v>Baixa</v>
      </c>
      <c r="G196" s="29" t="str">
        <f aca="false">'Dados completos'!B78</f>
        <v>PAI Partners</v>
      </c>
      <c r="H196" s="30" t="str">
        <f aca="false">'Dados completos'!C78</f>
        <v>ESG internship (6 meses, Londres)</v>
      </c>
      <c r="I196" s="30" t="str">
        <f aca="false">'Dados completos'!E78</f>
        <v>VC / private equity</v>
      </c>
      <c r="J196" s="24" t="str">
        <f aca="false">'Dados completos'!F78</f>
        <v>Reino Unido</v>
      </c>
      <c r="K196" s="30" t="str">
        <f aca="false">'Dados completos'!G78</f>
        <v>Londres</v>
      </c>
      <c r="L196" s="30" t="str">
        <f aca="false">'Dados completos'!H78</f>
        <v>Não indicado (provável presencial)</v>
      </c>
      <c r="M196" s="30" t="str">
        <f aca="false">'Dados completos'!I78</f>
        <v>Por confirmar</v>
      </c>
      <c r="N196" s="31" t="str">
        <f aca="false">'Dados completos'!O78</f>
        <v>Não indicado</v>
      </c>
      <c r="O196" s="28" t="str">
        <f aca="false">'Dados completos'!V78</f>
        <v>Muito alta</v>
      </c>
      <c r="P196" s="30" t="str">
        <f aca="false">IF('Dados completos'!R78="","n/d",IF('Dados completos'!R78='Dados completos'!S78,TEXT('Dados completos'!R78,"#,##0"),TEXT('Dados completos'!R78,"#,##0")&amp;", "&amp;TEXT('Dados completos'!S78,"#,##0")))</f>
        <v>2,800, 4,000</v>
      </c>
      <c r="Q196" s="30" t="str">
        <f aca="false">'Dados completos'!M78</f>
        <v>Inglês (ver oferta)</v>
      </c>
      <c r="R196" s="30" t="str">
        <f aca="false">'Dados completos'!AJ78</f>
        <v>Língua-chave EN (exigência 1); experiência prévia em finanças valorizada, CV tem pouca; exige mestrado em curso ou convenção de estágio, risco.</v>
      </c>
      <c r="S196" s="30" t="str">
        <f aca="false">'Dados completos'!AK78</f>
        <v>Por confirmar</v>
      </c>
      <c r="T196" s="24" t="str">
        <f aca="false">'Dados completos'!AP78</f>
        <v>Parcial (agregador/título)</v>
      </c>
      <c r="U196" s="30" t="str">
        <f aca="false">'Dados completos'!AO78</f>
        <v>Direto (site/ATS da empresa)</v>
      </c>
      <c r="V196" s="32" t="str">
        <f aca="false">HYPERLINK('Dados completos'!AN78,"Abrir")</f>
        <v>Abrir</v>
      </c>
    </row>
    <row r="197" customFormat="false" ht="45.75" hidden="false" customHeight="true" outlineLevel="0" collapsed="false">
      <c r="A197" s="24" t="n">
        <f aca="false">'Dados completos'!A104</f>
        <v>101</v>
      </c>
      <c r="B197" s="25" t="str">
        <f aca="false">'Dados completos'!AL104</f>
        <v>Reserva</v>
      </c>
      <c r="C197" s="24" t="n">
        <f aca="false">'Dados completos'!Y104</f>
        <v>2.3</v>
      </c>
      <c r="D197" s="26" t="n">
        <f aca="false">'Dados completos'!AF104</f>
        <v>47</v>
      </c>
      <c r="E197" s="27" t="n">
        <f aca="false">'Dados completos'!AH104</f>
        <v>0.00964</v>
      </c>
      <c r="F197" s="28" t="str">
        <f aca="false">'Dados completos'!AI104</f>
        <v>Baixa</v>
      </c>
      <c r="G197" s="29" t="str">
        <f aca="false">'Dados completos'!B104</f>
        <v>Barclays</v>
      </c>
      <c r="H197" s="30" t="str">
        <f aca="false">'Dados completos'!C104</f>
        <v>Quantitative Analytics Associate Off-Cycle Internship 2027 (Paris)</v>
      </c>
      <c r="I197" s="30" t="str">
        <f aca="false">'Dados completos'!E104</f>
        <v>Banca de investimento</v>
      </c>
      <c r="J197" s="24" t="str">
        <f aca="false">'Dados completos'!F104</f>
        <v>França</v>
      </c>
      <c r="K197" s="30" t="str">
        <f aca="false">'Dados completos'!G104</f>
        <v>Paris</v>
      </c>
      <c r="L197" s="30" t="str">
        <f aca="false">'Dados completos'!H104</f>
        <v>Não indicado (provável presencial)</v>
      </c>
      <c r="M197" s="30" t="str">
        <f aca="false">'Dados completos'!I104</f>
        <v>2027 (mês por confirmar)</v>
      </c>
      <c r="N197" s="31" t="str">
        <f aca="false">'Dados completos'!O104</f>
        <v>Não indicado</v>
      </c>
      <c r="O197" s="28" t="str">
        <f aca="false">'Dados completos'!V104</f>
        <v>Muito alta</v>
      </c>
      <c r="P197" s="30" t="str">
        <f aca="false">IF('Dados completos'!R104="","n/d",IF('Dados completos'!R104='Dados completos'!S104,TEXT('Dados completos'!R104,"#,##0"),TEXT('Dados completos'!R104,"#,##0")&amp;", "&amp;TEXT('Dados completos'!S104,"#,##0")))</f>
        <v>1,500, 2,500</v>
      </c>
      <c r="Q197" s="30" t="str">
        <f aca="false">'Dados completos'!M104</f>
        <v>Francês e inglês (ver oferta)</v>
      </c>
      <c r="R197" s="30" t="str">
        <f aca="false">'Dados completos'!AJ104</f>
        <v>Língua-chave FR (exigência 0.5); pede experiência prévia em IB/PE/consultoria, o CV mostrado não tem; exige mestrado em curso ou convenção de estágio, risco.</v>
      </c>
      <c r="S197" s="30" t="str">
        <f aca="false">'Dados completos'!AK104</f>
        <v>Por confirmar</v>
      </c>
      <c r="T197" s="24" t="str">
        <f aca="false">'Dados completos'!AP104</f>
        <v>Parcial (agregador/título)</v>
      </c>
      <c r="U197" s="30" t="str">
        <f aca="false">'Dados completos'!AO104</f>
        <v>Direto (site/ATS da empresa)</v>
      </c>
      <c r="V197" s="32" t="str">
        <f aca="false">HYPERLINK('Dados completos'!AN104,"Abrir")</f>
        <v>Abrir</v>
      </c>
    </row>
    <row r="198" customFormat="false" ht="45.75" hidden="false" customHeight="true" outlineLevel="0" collapsed="false">
      <c r="A198" s="24" t="n">
        <f aca="false">'Dados completos'!A122</f>
        <v>119</v>
      </c>
      <c r="B198" s="25" t="str">
        <f aca="false">'Dados completos'!AL122</f>
        <v>Reserva</v>
      </c>
      <c r="C198" s="24" t="n">
        <f aca="false">'Dados completos'!Y122</f>
        <v>2.3</v>
      </c>
      <c r="D198" s="26" t="n">
        <f aca="false">'Dados completos'!AF122</f>
        <v>47</v>
      </c>
      <c r="E198" s="27" t="n">
        <f aca="false">'Dados completos'!AH122</f>
        <v>0.00964</v>
      </c>
      <c r="F198" s="28" t="str">
        <f aca="false">'Dados completos'!AI122</f>
        <v>Baixa</v>
      </c>
      <c r="G198" s="29" t="str">
        <f aca="false">'Dados completos'!B122</f>
        <v>Goldman Sachs</v>
      </c>
      <c r="H198" s="30" t="str">
        <f aca="false">'Dados completos'!C122</f>
        <v>2027 FICC &amp; Equities Quantitative Strats, Seasonal/Off-Cycle</v>
      </c>
      <c r="I198" s="30" t="str">
        <f aca="false">'Dados completos'!E122</f>
        <v>Banca de investimento</v>
      </c>
      <c r="J198" s="24" t="str">
        <f aca="false">'Dados completos'!F122</f>
        <v>França</v>
      </c>
      <c r="K198" s="30" t="str">
        <f aca="false">'Dados completos'!G122</f>
        <v>Paris</v>
      </c>
      <c r="L198" s="30" t="str">
        <f aca="false">'Dados completos'!H122</f>
        <v>Não indicado (provável presencial)</v>
      </c>
      <c r="M198" s="30" t="str">
        <f aca="false">'Dados completos'!I122</f>
        <v>2027 (mês por confirmar)</v>
      </c>
      <c r="N198" s="31" t="str">
        <f aca="false">'Dados completos'!O122</f>
        <v>Não indicado</v>
      </c>
      <c r="O198" s="28" t="str">
        <f aca="false">'Dados completos'!V122</f>
        <v>Muito alta</v>
      </c>
      <c r="P198" s="30" t="str">
        <f aca="false">IF('Dados completos'!R122="","n/d",IF('Dados completos'!R122='Dados completos'!S122,TEXT('Dados completos'!R122,"#,##0"),TEXT('Dados completos'!R122,"#,##0")&amp;", "&amp;TEXT('Dados completos'!S122,"#,##0")))</f>
        <v>1,500, 2,500</v>
      </c>
      <c r="Q198" s="30" t="str">
        <f aca="false">'Dados completos'!M122</f>
        <v>Francês e inglês (ver oferta)</v>
      </c>
      <c r="R198" s="30" t="str">
        <f aca="false">'Dados completos'!AJ122</f>
        <v>Língua-chave FR (exigência 0.5); pede experiência prévia em IB/PE/consultoria, o CV mostrado não tem; exige mestrado em curso ou convenção de estágio, risco.</v>
      </c>
      <c r="S198" s="30" t="str">
        <f aca="false">'Dados completos'!AK122</f>
        <v>Por confirmar</v>
      </c>
      <c r="T198" s="24" t="str">
        <f aca="false">'Dados completos'!AP122</f>
        <v>Parcial (agregador/título)</v>
      </c>
      <c r="U198" s="30" t="str">
        <f aca="false">'Dados completos'!AO122</f>
        <v>Direto (site/ATS da empresa)</v>
      </c>
      <c r="V198" s="32" t="str">
        <f aca="false">HYPERLINK('Dados completos'!AN122,"Abrir")</f>
        <v>Abrir</v>
      </c>
    </row>
    <row r="199" customFormat="false" ht="45.75" hidden="false" customHeight="true" outlineLevel="0" collapsed="false">
      <c r="A199" s="24" t="n">
        <f aca="false">'Dados completos'!A123</f>
        <v>120</v>
      </c>
      <c r="B199" s="25" t="str">
        <f aca="false">'Dados completos'!AL123</f>
        <v>Reserva</v>
      </c>
      <c r="C199" s="24" t="n">
        <f aca="false">'Dados completos'!Y123</f>
        <v>2.3</v>
      </c>
      <c r="D199" s="26" t="n">
        <f aca="false">'Dados completos'!AF123</f>
        <v>47</v>
      </c>
      <c r="E199" s="27" t="n">
        <f aca="false">'Dados completos'!AH123</f>
        <v>0.00964</v>
      </c>
      <c r="F199" s="28" t="str">
        <f aca="false">'Dados completos'!AI123</f>
        <v>Baixa</v>
      </c>
      <c r="G199" s="29" t="str">
        <f aca="false">'Dados completos'!B123</f>
        <v>Goldman Sachs</v>
      </c>
      <c r="H199" s="30" t="str">
        <f aca="false">'Dados completos'!C123</f>
        <v>2027 The Core Quantitative Strats, Seasonal/Off-Cycle</v>
      </c>
      <c r="I199" s="30" t="str">
        <f aca="false">'Dados completos'!E123</f>
        <v>Banca de investimento</v>
      </c>
      <c r="J199" s="24" t="str">
        <f aca="false">'Dados completos'!F123</f>
        <v>França</v>
      </c>
      <c r="K199" s="30" t="str">
        <f aca="false">'Dados completos'!G123</f>
        <v>Paris</v>
      </c>
      <c r="L199" s="30" t="str">
        <f aca="false">'Dados completos'!H123</f>
        <v>Não indicado (provável presencial)</v>
      </c>
      <c r="M199" s="30" t="str">
        <f aca="false">'Dados completos'!I123</f>
        <v>2027 (mês por confirmar)</v>
      </c>
      <c r="N199" s="31" t="str">
        <f aca="false">'Dados completos'!O123</f>
        <v>Não indicado</v>
      </c>
      <c r="O199" s="28" t="str">
        <f aca="false">'Dados completos'!V123</f>
        <v>Muito alta</v>
      </c>
      <c r="P199" s="30" t="str">
        <f aca="false">IF('Dados completos'!R123="","n/d",IF('Dados completos'!R123='Dados completos'!S123,TEXT('Dados completos'!R123,"#,##0"),TEXT('Dados completos'!R123,"#,##0")&amp;", "&amp;TEXT('Dados completos'!S123,"#,##0")))</f>
        <v>1,500, 2,500</v>
      </c>
      <c r="Q199" s="30" t="str">
        <f aca="false">'Dados completos'!M123</f>
        <v>Francês e inglês (ver oferta)</v>
      </c>
      <c r="R199" s="30" t="str">
        <f aca="false">'Dados completos'!AJ123</f>
        <v>Língua-chave FR (exigência 0.5); pede experiência prévia em IB/PE/consultoria, o CV mostrado não tem; exige mestrado em curso ou convenção de estágio, risco.</v>
      </c>
      <c r="S199" s="30" t="str">
        <f aca="false">'Dados completos'!AK123</f>
        <v>Por confirmar</v>
      </c>
      <c r="T199" s="24" t="str">
        <f aca="false">'Dados completos'!AP123</f>
        <v>Parcial (agregador/título)</v>
      </c>
      <c r="U199" s="30" t="str">
        <f aca="false">'Dados completos'!AO123</f>
        <v>Direto (site/ATS da empresa)</v>
      </c>
      <c r="V199" s="32" t="str">
        <f aca="false">HYPERLINK('Dados completos'!AN123,"Abrir")</f>
        <v>Abrir</v>
      </c>
    </row>
    <row r="200" customFormat="false" ht="45.75" hidden="false" customHeight="true" outlineLevel="0" collapsed="false">
      <c r="A200" s="24" t="n">
        <f aca="false">'Dados completos'!A65</f>
        <v>62</v>
      </c>
      <c r="B200" s="25" t="str">
        <f aca="false">'Dados completos'!AL65</f>
        <v>Reserva</v>
      </c>
      <c r="C200" s="24" t="n">
        <f aca="false">'Dados completos'!Y65</f>
        <v>2.3</v>
      </c>
      <c r="D200" s="26" t="n">
        <f aca="false">'Dados completos'!AF65</f>
        <v>45.25</v>
      </c>
      <c r="E200" s="27" t="n">
        <f aca="false">'Dados completos'!AH65</f>
        <v>0.00943</v>
      </c>
      <c r="F200" s="28" t="str">
        <f aca="false">'Dados completos'!AI65</f>
        <v>Baixa</v>
      </c>
      <c r="G200" s="29" t="str">
        <f aca="false">'Dados completos'!B65</f>
        <v>Rothschild &amp; Co</v>
      </c>
      <c r="H200" s="30" t="str">
        <f aca="false">'Dados completos'!C65</f>
        <v>Germany Frankfurt, Global Markets Solutions, January Internship 2027</v>
      </c>
      <c r="I200" s="30" t="str">
        <f aca="false">'Dados completos'!E65</f>
        <v>Banca de investimento / boutique</v>
      </c>
      <c r="J200" s="24" t="str">
        <f aca="false">'Dados completos'!F65</f>
        <v>Alemanha</v>
      </c>
      <c r="K200" s="30" t="str">
        <f aca="false">'Dados completos'!G65</f>
        <v>Frankfurt</v>
      </c>
      <c r="L200" s="30" t="str">
        <f aca="false">'Dados completos'!H65</f>
        <v>Não indicado (provável presencial)</v>
      </c>
      <c r="M200" s="30" t="str">
        <f aca="false">'Dados completos'!I65</f>
        <v>Jan 2027</v>
      </c>
      <c r="N200" s="31" t="str">
        <f aca="false">'Dados completos'!O65</f>
        <v>Não indicado</v>
      </c>
      <c r="O200" s="28" t="str">
        <f aca="false">'Dados completos'!V65</f>
        <v>Muito alta</v>
      </c>
      <c r="P200" s="30" t="str">
        <f aca="false">IF('Dados completos'!R65="","n/d",IF('Dados completos'!R65='Dados completos'!S65,TEXT('Dados completos'!R65,"#,##0"),TEXT('Dados completos'!R65,"#,##0")&amp;", "&amp;TEXT('Dados completos'!S65,"#,##0")))</f>
        <v>1,800, 2,800</v>
      </c>
      <c r="Q200" s="30" t="str">
        <f aca="false">'Dados completos'!M65</f>
        <v>Alemão e inglês (ver oferta)</v>
      </c>
      <c r="R200" s="30" t="str">
        <f aca="false">'Dados completos'!AJ65</f>
        <v>Língua-chave DE (exigência 0.5); experiência prévia em finanças valorizada, CV tem pouca; exige mestrado em curso ou convenção de estágio, risco.</v>
      </c>
      <c r="S200" s="30" t="str">
        <f aca="false">'Dados completos'!AK65</f>
        <v>Por confirmar</v>
      </c>
      <c r="T200" s="24" t="str">
        <f aca="false">'Dados completos'!AP65</f>
        <v>Parcial (agregador/título)</v>
      </c>
      <c r="U200" s="30" t="str">
        <f aca="false">'Dados completos'!AO65</f>
        <v>Direto (site/ATS da empresa)</v>
      </c>
      <c r="V200" s="32" t="str">
        <f aca="false">HYPERLINK('Dados completos'!AN65,"Abrir")</f>
        <v>Abrir</v>
      </c>
    </row>
    <row r="201" customFormat="false" ht="45.75" hidden="false" customHeight="true" outlineLevel="0" collapsed="false">
      <c r="A201" s="24" t="n">
        <f aca="false">'Dados completos'!A98</f>
        <v>95</v>
      </c>
      <c r="B201" s="25" t="str">
        <f aca="false">'Dados completos'!AL98</f>
        <v>Reserva</v>
      </c>
      <c r="C201" s="24" t="n">
        <f aca="false">'Dados completos'!Y98</f>
        <v>2.3</v>
      </c>
      <c r="D201" s="26" t="n">
        <f aca="false">'Dados completos'!AF98</f>
        <v>44.9</v>
      </c>
      <c r="E201" s="27" t="n">
        <f aca="false">'Dados completos'!AH98</f>
        <v>0.009388</v>
      </c>
      <c r="F201" s="28" t="str">
        <f aca="false">'Dados completos'!AI98</f>
        <v>Baixa</v>
      </c>
      <c r="G201" s="29" t="str">
        <f aca="false">'Dados completos'!B98</f>
        <v>Barclays</v>
      </c>
      <c r="H201" s="30" t="str">
        <f aca="false">'Dados completos'!C98</f>
        <v>Capital Markets Off-Cycle Internship Programme 2027 (Paris)</v>
      </c>
      <c r="I201" s="30" t="str">
        <f aca="false">'Dados completos'!E98</f>
        <v>Banca de investimento</v>
      </c>
      <c r="J201" s="24" t="str">
        <f aca="false">'Dados completos'!F98</f>
        <v>França</v>
      </c>
      <c r="K201" s="30" t="str">
        <f aca="false">'Dados completos'!G98</f>
        <v>Paris</v>
      </c>
      <c r="L201" s="30" t="str">
        <f aca="false">'Dados completos'!H98</f>
        <v>Não indicado (provável presencial)</v>
      </c>
      <c r="M201" s="30" t="str">
        <f aca="false">'Dados completos'!I98</f>
        <v>2027 (mês por confirmar)</v>
      </c>
      <c r="N201" s="31" t="str">
        <f aca="false">'Dados completos'!O98</f>
        <v>Não indicado</v>
      </c>
      <c r="O201" s="28" t="str">
        <f aca="false">'Dados completos'!V98</f>
        <v>Muito alta</v>
      </c>
      <c r="P201" s="30" t="str">
        <f aca="false">IF('Dados completos'!R98="","n/d",IF('Dados completos'!R98='Dados completos'!S98,TEXT('Dados completos'!R98,"#,##0"),TEXT('Dados completos'!R98,"#,##0")&amp;", "&amp;TEXT('Dados completos'!S98,"#,##0")))</f>
        <v>1,500, 2,500</v>
      </c>
      <c r="Q201" s="30" t="str">
        <f aca="false">'Dados completos'!M98</f>
        <v>Francês e inglês (ver oferta)</v>
      </c>
      <c r="R201" s="30" t="str">
        <f aca="false">'Dados completos'!AJ98</f>
        <v>Língua-chave FR (exigência 0.6); experiência prévia em finanças valorizada, CV tem pouca; exige mestrado em curso ou convenção de estágio, risco.</v>
      </c>
      <c r="S201" s="30" t="str">
        <f aca="false">'Dados completos'!AK98</f>
        <v>Por confirmar</v>
      </c>
      <c r="T201" s="24" t="str">
        <f aca="false">'Dados completos'!AP98</f>
        <v>Parcial (agregador/título)</v>
      </c>
      <c r="U201" s="30" t="str">
        <f aca="false">'Dados completos'!AO98</f>
        <v>Direto (site/ATS da empresa)</v>
      </c>
      <c r="V201" s="32" t="str">
        <f aca="false">HYPERLINK('Dados completos'!AN98,"Abrir")</f>
        <v>Abrir</v>
      </c>
    </row>
    <row r="202" customFormat="false" ht="45.75" hidden="false" customHeight="true" outlineLevel="0" collapsed="false">
      <c r="A202" s="24" t="n">
        <f aca="false">'Dados completos'!A63</f>
        <v>60</v>
      </c>
      <c r="B202" s="25" t="str">
        <f aca="false">'Dados completos'!AL63</f>
        <v>Reserva</v>
      </c>
      <c r="C202" s="24" t="n">
        <f aca="false">'Dados completos'!Y63</f>
        <v>2.5</v>
      </c>
      <c r="D202" s="26" t="n">
        <f aca="false">'Dados completos'!AF63</f>
        <v>28.5</v>
      </c>
      <c r="E202" s="27" t="n">
        <f aca="false">'Dados completos'!AH63</f>
        <v>0.00742</v>
      </c>
      <c r="F202" s="28" t="str">
        <f aca="false">'Dados completos'!AI63</f>
        <v>Baixa</v>
      </c>
      <c r="G202" s="29" t="str">
        <f aca="false">'Dados completos'!B63</f>
        <v>Rothschild &amp; Co</v>
      </c>
      <c r="H202" s="30" t="str">
        <f aca="false">'Dados completos'!C63</f>
        <v>Long Term Internship, Sovereign Advisory, Janvier/Mars 2027</v>
      </c>
      <c r="I202" s="30" t="str">
        <f aca="false">'Dados completos'!E63</f>
        <v>Banca de investimento / boutique</v>
      </c>
      <c r="J202" s="24" t="str">
        <f aca="false">'Dados completos'!F63</f>
        <v>França</v>
      </c>
      <c r="K202" s="30" t="str">
        <f aca="false">'Dados completos'!G63</f>
        <v>Paris</v>
      </c>
      <c r="L202" s="30" t="str">
        <f aca="false">'Dados completos'!H63</f>
        <v>Não indicado (provável presencial)</v>
      </c>
      <c r="M202" s="30" t="str">
        <f aca="false">'Dados completos'!I63</f>
        <v>Jan/Mar 2027</v>
      </c>
      <c r="N202" s="31" t="str">
        <f aca="false">'Dados completos'!O63</f>
        <v>Não indicado</v>
      </c>
      <c r="O202" s="28" t="str">
        <f aca="false">'Dados completos'!V63</f>
        <v>Muito alta</v>
      </c>
      <c r="P202" s="30" t="str">
        <f aca="false">IF('Dados completos'!R63="","n/d",IF('Dados completos'!R63='Dados completos'!S63,TEXT('Dados completos'!R63,"#,##0"),TEXT('Dados completos'!R63,"#,##0")&amp;", "&amp;TEXT('Dados completos'!S63,"#,##0")))</f>
        <v>1,500, 2,500</v>
      </c>
      <c r="Q202" s="30" t="str">
        <f aca="false">'Dados completos'!M63</f>
        <v>Francês e inglês (ver oferta)</v>
      </c>
      <c r="R202" s="30" t="str">
        <f aca="false">'Dados completos'!AJ63</f>
        <v>Língua-chave FR (exigência 1); experiência prévia em finanças valorizada, CV tem pouca; exige mestrado em curso ou convenção de estágio, risco.</v>
      </c>
      <c r="S202" s="30" t="str">
        <f aca="false">'Dados completos'!AK63</f>
        <v>Por confirmar</v>
      </c>
      <c r="T202" s="24" t="str">
        <f aca="false">'Dados completos'!AP63</f>
        <v>Parcial (agregador/título)</v>
      </c>
      <c r="U202" s="30" t="str">
        <f aca="false">'Dados completos'!AO63</f>
        <v>Direto (site/ATS da empresa)</v>
      </c>
      <c r="V202" s="32" t="str">
        <f aca="false">HYPERLINK('Dados completos'!AN63,"Abrir")</f>
        <v>Abrir</v>
      </c>
    </row>
    <row r="203" customFormat="false" ht="45.75" hidden="false" customHeight="true" outlineLevel="0" collapsed="false">
      <c r="A203" s="24" t="n">
        <f aca="false">'Dados completos'!A64</f>
        <v>61</v>
      </c>
      <c r="B203" s="25" t="str">
        <f aca="false">'Dados completos'!AL64</f>
        <v>Reserva</v>
      </c>
      <c r="C203" s="24" t="n">
        <f aca="false">'Dados completos'!Y64</f>
        <v>2.5</v>
      </c>
      <c r="D203" s="26" t="n">
        <f aca="false">'Dados completos'!AF64</f>
        <v>28.5</v>
      </c>
      <c r="E203" s="27" t="n">
        <f aca="false">'Dados completos'!AH64</f>
        <v>0.00742</v>
      </c>
      <c r="F203" s="28" t="str">
        <f aca="false">'Dados completos'!AI64</f>
        <v>Baixa</v>
      </c>
      <c r="G203" s="29" t="str">
        <f aca="false">'Dados completos'!B64</f>
        <v>Rothschild &amp; Co</v>
      </c>
      <c r="H203" s="30" t="str">
        <f aca="false">'Dados completos'!C64</f>
        <v>Stage Infrastructure Debt Advisory, Global Advisory, Janvier 2027</v>
      </c>
      <c r="I203" s="30" t="str">
        <f aca="false">'Dados completos'!E64</f>
        <v>Banca de investimento / boutique</v>
      </c>
      <c r="J203" s="24" t="str">
        <f aca="false">'Dados completos'!F64</f>
        <v>França</v>
      </c>
      <c r="K203" s="30" t="str">
        <f aca="false">'Dados completos'!G64</f>
        <v>Paris</v>
      </c>
      <c r="L203" s="30" t="str">
        <f aca="false">'Dados completos'!H64</f>
        <v>Não indicado (provável presencial)</v>
      </c>
      <c r="M203" s="30" t="str">
        <f aca="false">'Dados completos'!I64</f>
        <v>Jan 2027</v>
      </c>
      <c r="N203" s="31" t="str">
        <f aca="false">'Dados completos'!O64</f>
        <v>Não indicado</v>
      </c>
      <c r="O203" s="28" t="str">
        <f aca="false">'Dados completos'!V64</f>
        <v>Muito alta</v>
      </c>
      <c r="P203" s="30" t="str">
        <f aca="false">IF('Dados completos'!R64="","n/d",IF('Dados completos'!R64='Dados completos'!S64,TEXT('Dados completos'!R64,"#,##0"),TEXT('Dados completos'!R64,"#,##0")&amp;", "&amp;TEXT('Dados completos'!S64,"#,##0")))</f>
        <v>1,500, 2,500</v>
      </c>
      <c r="Q203" s="30" t="str">
        <f aca="false">'Dados completos'!M64</f>
        <v>Francês e inglês (ver oferta)</v>
      </c>
      <c r="R203" s="30" t="str">
        <f aca="false">'Dados completos'!AJ64</f>
        <v>Língua-chave FR (exigência 1); experiência prévia em finanças valorizada, CV tem pouca; exige mestrado em curso ou convenção de estágio, risco.</v>
      </c>
      <c r="S203" s="30" t="str">
        <f aca="false">'Dados completos'!AK64</f>
        <v>Por confirmar</v>
      </c>
      <c r="T203" s="24" t="str">
        <f aca="false">'Dados completos'!AP64</f>
        <v>Parcial (agregador/título)</v>
      </c>
      <c r="U203" s="30" t="str">
        <f aca="false">'Dados completos'!AO64</f>
        <v>Direto (site/ATS da empresa)</v>
      </c>
      <c r="V203" s="32" t="str">
        <f aca="false">HYPERLINK('Dados completos'!AN64,"Abrir")</f>
        <v>Abrir</v>
      </c>
    </row>
    <row r="204" customFormat="false" ht="45.75" hidden="false" customHeight="true" outlineLevel="0" collapsed="false">
      <c r="A204" s="24" t="n">
        <f aca="false">'Dados completos'!A14</f>
        <v>11</v>
      </c>
      <c r="B204" s="25" t="str">
        <f aca="false">'Dados completos'!AL14</f>
        <v>Reserva</v>
      </c>
      <c r="C204" s="24" t="n">
        <f aca="false">'Dados completos'!Y14</f>
        <v>2.2</v>
      </c>
      <c r="D204" s="26" t="n">
        <f aca="false">'Dados completos'!AF14</f>
        <v>50.95</v>
      </c>
      <c r="E204" s="27" t="n">
        <f aca="false">'Dados completos'!AH14</f>
        <v>0.0010114</v>
      </c>
      <c r="F204" s="28" t="str">
        <f aca="false">'Dados completos'!AI14</f>
        <v>Baixa</v>
      </c>
      <c r="G204" s="29" t="str">
        <f aca="false">'Dados completos'!B14</f>
        <v>BlackRock</v>
      </c>
      <c r="H204" s="30" t="str">
        <f aca="false">'Dados completos'!C14</f>
        <v>2027 Off-cycle Internship Program, EMEA (Frankfurt/Munique, a partir de mar 2027)</v>
      </c>
      <c r="I204" s="30" t="str">
        <f aca="false">'Dados completos'!E14</f>
        <v>Gestão de ativos</v>
      </c>
      <c r="J204" s="24" t="str">
        <f aca="false">'Dados completos'!F14</f>
        <v>Alemanha</v>
      </c>
      <c r="K204" s="30" t="str">
        <f aca="false">'Dados completos'!G14</f>
        <v>Frankfurt / Munique</v>
      </c>
      <c r="L204" s="30" t="str">
        <f aca="false">'Dados completos'!H14</f>
        <v>Não indicado (provável presencial)</v>
      </c>
      <c r="M204" s="30" t="str">
        <f aca="false">'Dados completos'!I14</f>
        <v>Mar-Set 2027 (Munique), não é janeiro</v>
      </c>
      <c r="N204" s="31" t="n">
        <f aca="false">'Dados completos'!O14</f>
        <v>46339</v>
      </c>
      <c r="O204" s="28" t="str">
        <f aca="false">'Dados completos'!V14</f>
        <v>Muito alta</v>
      </c>
      <c r="P204" s="30" t="str">
        <f aca="false">IF('Dados completos'!R14="","n/d",IF('Dados completos'!R14='Dados completos'!S14,TEXT('Dados completos'!R14,"#,##0"),TEXT('Dados completos'!R14,"#,##0")&amp;", "&amp;TEXT('Dados completos'!S14,"#,##0")))</f>
        <v>1,800, 2,500</v>
      </c>
      <c r="Q204" s="30" t="str">
        <f aca="false">'Dados completos'!M14</f>
        <v>Inglês (alemão provável)</v>
      </c>
      <c r="R204" s="30" t="str">
        <f aca="false">'Dados completos'!AJ14</f>
        <v>Língua-chave DE (exigência 0.3); experiência prévia em finanças valorizada, CV tem pouca; provavelmente inelegível (penúltimo ano / prazo).</v>
      </c>
      <c r="S204" s="30" t="str">
        <f aca="false">'Dados completos'!AK14</f>
        <v>Aberta, prazo definido</v>
      </c>
      <c r="T204" s="24" t="str">
        <f aca="false">'Dados completos'!AP14</f>
        <v>Verificada na página</v>
      </c>
      <c r="U204" s="30" t="str">
        <f aca="false">'Dados completos'!AO14</f>
        <v>Página de carreiras (procurar a vaga)</v>
      </c>
      <c r="V204" s="32" t="str">
        <f aca="false">HYPERLINK('Dados completos'!AN14,"Abrir")</f>
        <v>Abrir</v>
      </c>
    </row>
    <row r="205" customFormat="false" ht="45.75" hidden="false" customHeight="true" outlineLevel="0" collapsed="false">
      <c r="A205" s="24" t="n">
        <f aca="false">'Dados completos'!A214</f>
        <v>211</v>
      </c>
      <c r="B205" s="25" t="str">
        <f aca="false">'Dados completos'!AL214</f>
        <v>Monitorizar</v>
      </c>
      <c r="C205" s="24" t="n">
        <f aca="false">'Dados completos'!Y214</f>
        <v>3.5</v>
      </c>
      <c r="D205" s="26" t="n">
        <f aca="false">'Dados completos'!AF214</f>
        <v>92.5</v>
      </c>
      <c r="E205" s="27" t="n">
        <f aca="false">'Dados completos'!AH214</f>
        <v>0.1812</v>
      </c>
      <c r="F205" s="28" t="str">
        <f aca="false">'Dados completos'!AI214</f>
        <v>—</v>
      </c>
      <c r="G205" s="29" t="str">
        <f aca="false">'Dados completos'!B214</f>
        <v>Crédito Agrícola</v>
      </c>
      <c r="H205" s="30" t="str">
        <f aca="false">'Dados completos'!C214</f>
        <v>CA Educa (estágio profissional de 12 meses)</v>
      </c>
      <c r="I205" s="30" t="str">
        <f aca="false">'Dados completos'!E214</f>
        <v>Banca comercial</v>
      </c>
      <c r="J205" s="24" t="str">
        <f aca="false">'Dados completos'!F214</f>
        <v>Portugal</v>
      </c>
      <c r="K205" s="30" t="str">
        <f aca="false">'Dados completos'!G214</f>
        <v>Lisboa</v>
      </c>
      <c r="L205" s="30" t="str">
        <f aca="false">'Dados completos'!H214</f>
        <v>Não indicado (provável presencial)</v>
      </c>
      <c r="M205" s="30" t="str">
        <f aca="false">'Dados completos'!I214</f>
        <v>Não indicado</v>
      </c>
      <c r="N205" s="31" t="str">
        <f aca="false">'Dados completos'!O214</f>
        <v>Não indicado</v>
      </c>
      <c r="O205" s="28" t="str">
        <f aca="false">'Dados completos'!V214</f>
        <v>Média</v>
      </c>
      <c r="P205" s="30" t="str">
        <f aca="false">IF('Dados completos'!R214="","n/d",IF('Dados completos'!R214='Dados completos'!S214,TEXT('Dados completos'!R214,"#,##0"),TEXT('Dados completos'!R214,"#,##0")&amp;", "&amp;TEXT('Dados completos'!S214,"#,##0")))</f>
        <v>1,000, 1,300</v>
      </c>
      <c r="Q205" s="30" t="str">
        <f aca="false">'Dados completos'!M214</f>
        <v>Inglês (ver oferta)</v>
      </c>
      <c r="R205" s="30" t="str">
        <f aca="false">'Dados completos'!AJ214</f>
        <v>Língua-chave PT (exigência 0.3); não exige experiência prévia em finanças; aceita recém-licenciadas.</v>
      </c>
      <c r="S205" s="30" t="str">
        <f aca="false">'Dados completos'!AK214</f>
        <v>Monitorizar (edição 2027 ainda por abrir)</v>
      </c>
      <c r="T205" s="24" t="str">
        <f aca="false">'Dados completos'!AP214</f>
        <v>Parcial (agregador/título)</v>
      </c>
      <c r="U205" s="30" t="str">
        <f aca="false">'Dados completos'!AO214</f>
        <v>Direto (site/ATS da empresa)</v>
      </c>
      <c r="V205" s="32" t="str">
        <f aca="false">HYPERLINK('Dados completos'!AN214,"Abrir")</f>
        <v>Abrir</v>
      </c>
    </row>
    <row r="206" customFormat="false" ht="45.75" hidden="false" customHeight="true" outlineLevel="0" collapsed="false">
      <c r="A206" s="24" t="n">
        <f aca="false">'Dados completos'!A17</f>
        <v>14</v>
      </c>
      <c r="B206" s="25" t="str">
        <f aca="false">'Dados completos'!AL17</f>
        <v>Monitorizar</v>
      </c>
      <c r="C206" s="24" t="n">
        <f aca="false">'Dados completos'!Y17</f>
        <v>3.6</v>
      </c>
      <c r="D206" s="26" t="n">
        <f aca="false">'Dados completos'!AF17</f>
        <v>86.5</v>
      </c>
      <c r="E206" s="27" t="n">
        <f aca="false">'Dados completos'!AH17</f>
        <v>0.11504</v>
      </c>
      <c r="F206" s="28" t="str">
        <f aca="false">'Dados completos'!AI17</f>
        <v>—</v>
      </c>
      <c r="G206" s="29" t="str">
        <f aca="false">'Dados completos'!B17</f>
        <v>Alantra</v>
      </c>
      <c r="H206" s="30" t="str">
        <f aca="false">'Dados completos'!C17</f>
        <v>Summer Intern, Investment Banking, FIG (Lisboa)</v>
      </c>
      <c r="I206" s="30" t="str">
        <f aca="false">'Dados completos'!E17</f>
        <v>Banca de investimento / boutique</v>
      </c>
      <c r="J206" s="24" t="str">
        <f aca="false">'Dados completos'!F17</f>
        <v>Portugal</v>
      </c>
      <c r="K206" s="30" t="str">
        <f aca="false">'Dados completos'!G17</f>
        <v>Lisboa</v>
      </c>
      <c r="L206" s="30" t="str">
        <f aca="false">'Dados completos'!H17</f>
        <v>Não indicado (provável presencial)</v>
      </c>
      <c r="M206" s="30" t="str">
        <f aca="false">'Dados completos'!I17</f>
        <v>Jun/Jul (verão)</v>
      </c>
      <c r="N206" s="31" t="str">
        <f aca="false">'Dados completos'!O17</f>
        <v>Não aberta (anúncio de 2023)</v>
      </c>
      <c r="O206" s="28" t="str">
        <f aca="false">'Dados completos'!V17</f>
        <v>Média-alta</v>
      </c>
      <c r="P206" s="30" t="str">
        <f aca="false">IF('Dados completos'!R17="","n/d",IF('Dados completos'!R17='Dados completos'!S17,TEXT('Dados completos'!R17,"#,##0"),TEXT('Dados completos'!R17,"#,##0")&amp;", "&amp;TEXT('Dados completos'!S17,"#,##0")))</f>
        <v>1,000, 1,400</v>
      </c>
      <c r="Q206" s="30" t="str">
        <f aca="false">'Dados completos'!M17</f>
        <v>Português e inglês fluentes; espanhol/italiano desejável</v>
      </c>
      <c r="R206" s="30" t="str">
        <f aca="false">'Dados completos'!AJ17</f>
        <v>Língua-chave EN (exigência 1); não exige experiência prévia em finanças; aceita recém-licenciadas.</v>
      </c>
      <c r="S206" s="30" t="str">
        <f aca="false">'Dados completos'!AK17</f>
        <v>Monitorizar (não aberta)</v>
      </c>
      <c r="T206" s="24" t="str">
        <f aca="false">'Dados completos'!AP17</f>
        <v>Verificada na página</v>
      </c>
      <c r="U206" s="30" t="str">
        <f aca="false">'Dados completos'!AO17</f>
        <v>Direto (site/ATS da empresa)</v>
      </c>
      <c r="V206" s="32" t="str">
        <f aca="false">HYPERLINK('Dados completos'!AN17,"Abrir")</f>
        <v>Abrir</v>
      </c>
    </row>
    <row r="207" customFormat="false" ht="45.75" hidden="false" customHeight="true" outlineLevel="0" collapsed="false">
      <c r="A207" s="24" t="n">
        <f aca="false">'Dados completos'!A209</f>
        <v>206</v>
      </c>
      <c r="B207" s="25" t="str">
        <f aca="false">'Dados completos'!AL209</f>
        <v>Monitorizar</v>
      </c>
      <c r="C207" s="24" t="n">
        <f aca="false">'Dados completos'!Y209</f>
        <v>3.2</v>
      </c>
      <c r="D207" s="26" t="n">
        <f aca="false">'Dados completos'!AF209</f>
        <v>92.5</v>
      </c>
      <c r="E207" s="27" t="n">
        <f aca="false">'Dados completos'!AH209</f>
        <v>0.1812</v>
      </c>
      <c r="F207" s="28" t="str">
        <f aca="false">'Dados completos'!AI209</f>
        <v>—</v>
      </c>
      <c r="G207" s="29" t="str">
        <f aca="false">'Dados completos'!B209</f>
        <v>Forvis Mazars</v>
      </c>
      <c r="H207" s="30" t="str">
        <f aca="false">'Dados completos'!C209</f>
        <v>Talent Graduate 2026</v>
      </c>
      <c r="I207" s="30" t="str">
        <f aca="false">'Dados completos'!E209</f>
        <v>Big 4 / consultoria</v>
      </c>
      <c r="J207" s="24" t="str">
        <f aca="false">'Dados completos'!F209</f>
        <v>Portugal</v>
      </c>
      <c r="K207" s="30" t="str">
        <f aca="false">'Dados completos'!G209</f>
        <v>Lisboa</v>
      </c>
      <c r="L207" s="30" t="str">
        <f aca="false">'Dados completos'!H209</f>
        <v>Não indicado (provável presencial)</v>
      </c>
      <c r="M207" s="30" t="str">
        <f aca="false">'Dados completos'!I209</f>
        <v>Não indicado</v>
      </c>
      <c r="N207" s="31" t="str">
        <f aca="false">'Dados completos'!O209</f>
        <v>Não indicado</v>
      </c>
      <c r="O207" s="28" t="str">
        <f aca="false">'Dados completos'!V209</f>
        <v>Média</v>
      </c>
      <c r="P207" s="30" t="str">
        <f aca="false">IF('Dados completos'!R209="","n/d",IF('Dados completos'!R209='Dados completos'!S209,TEXT('Dados completos'!R209,"#,##0"),TEXT('Dados completos'!R209,"#,##0")&amp;", "&amp;TEXT('Dados completos'!S209,"#,##0")))</f>
        <v>1,100, 1,400</v>
      </c>
      <c r="Q207" s="30" t="str">
        <f aca="false">'Dados completos'!M209</f>
        <v>Inglês (ver oferta)</v>
      </c>
      <c r="R207" s="30" t="str">
        <f aca="false">'Dados completos'!AJ209</f>
        <v>Língua-chave PT (exigência 0.3); não exige experiência prévia em finanças; aceita recém-licenciadas.</v>
      </c>
      <c r="S207" s="30" t="str">
        <f aca="false">'Dados completos'!AK209</f>
        <v>Monitorizar (edição 2027 ainda por abrir)</v>
      </c>
      <c r="T207" s="24" t="str">
        <f aca="false">'Dados completos'!AP209</f>
        <v>Parcial (agregador/título)</v>
      </c>
      <c r="U207" s="30" t="str">
        <f aca="false">'Dados completos'!AO209</f>
        <v>Página de carreiras (procurar a vaga)</v>
      </c>
      <c r="V207" s="32" t="str">
        <f aca="false">HYPERLINK('Dados completos'!AN209,"Abrir")</f>
        <v>Abrir</v>
      </c>
    </row>
    <row r="208" customFormat="false" ht="45.75" hidden="false" customHeight="true" outlineLevel="0" collapsed="false">
      <c r="A208" s="24" t="n">
        <f aca="false">'Dados completos'!A210</f>
        <v>207</v>
      </c>
      <c r="B208" s="25" t="str">
        <f aca="false">'Dados completos'!AL210</f>
        <v>Monitorizar</v>
      </c>
      <c r="C208" s="24" t="n">
        <f aca="false">'Dados completos'!Y210</f>
        <v>3.2</v>
      </c>
      <c r="D208" s="26" t="n">
        <f aca="false">'Dados completos'!AF210</f>
        <v>92.5</v>
      </c>
      <c r="E208" s="27" t="n">
        <f aca="false">'Dados completos'!AH210</f>
        <v>0.1812</v>
      </c>
      <c r="F208" s="28" t="str">
        <f aca="false">'Dados completos'!AI210</f>
        <v>—</v>
      </c>
      <c r="G208" s="29" t="str">
        <f aca="false">'Dados completos'!B210</f>
        <v>BDO Portugal</v>
      </c>
      <c r="H208" s="30" t="str">
        <f aca="false">'Dados completos'!C210</f>
        <v>Programa de Trainees (setembro, contrato sem termo)</v>
      </c>
      <c r="I208" s="30" t="str">
        <f aca="false">'Dados completos'!E210</f>
        <v>Big 4 / consultoria</v>
      </c>
      <c r="J208" s="24" t="str">
        <f aca="false">'Dados completos'!F210</f>
        <v>Portugal</v>
      </c>
      <c r="K208" s="30" t="str">
        <f aca="false">'Dados completos'!G210</f>
        <v>Lisboa</v>
      </c>
      <c r="L208" s="30" t="str">
        <f aca="false">'Dados completos'!H210</f>
        <v>Não indicado (provável presencial)</v>
      </c>
      <c r="M208" s="30" t="str">
        <f aca="false">'Dados completos'!I210</f>
        <v>Não indicado</v>
      </c>
      <c r="N208" s="31" t="str">
        <f aca="false">'Dados completos'!O210</f>
        <v>Não indicado</v>
      </c>
      <c r="O208" s="28" t="str">
        <f aca="false">'Dados completos'!V210</f>
        <v>Média</v>
      </c>
      <c r="P208" s="30" t="str">
        <f aca="false">IF('Dados completos'!R210="","n/d",IF('Dados completos'!R210='Dados completos'!S210,TEXT('Dados completos'!R210,"#,##0"),TEXT('Dados completos'!R210,"#,##0")&amp;", "&amp;TEXT('Dados completos'!S210,"#,##0")))</f>
        <v>1,100, 1,400</v>
      </c>
      <c r="Q208" s="30" t="str">
        <f aca="false">'Dados completos'!M210</f>
        <v>Inglês (ver oferta)</v>
      </c>
      <c r="R208" s="30" t="str">
        <f aca="false">'Dados completos'!AJ210</f>
        <v>Língua-chave PT (exigência 0.3); não exige experiência prévia em finanças; aceita recém-licenciadas.</v>
      </c>
      <c r="S208" s="30" t="str">
        <f aca="false">'Dados completos'!AK210</f>
        <v>Monitorizar (edição 2027 ainda por abrir)</v>
      </c>
      <c r="T208" s="24" t="str">
        <f aca="false">'Dados completos'!AP210</f>
        <v>Parcial (agregador/título)</v>
      </c>
      <c r="U208" s="30" t="str">
        <f aca="false">'Dados completos'!AO210</f>
        <v>Direto (site/ATS da empresa)</v>
      </c>
      <c r="V208" s="32" t="str">
        <f aca="false">HYPERLINK('Dados completos'!AN210,"Abrir")</f>
        <v>Abrir</v>
      </c>
    </row>
    <row r="209" customFormat="false" ht="45.75" hidden="false" customHeight="true" outlineLevel="0" collapsed="false">
      <c r="A209" s="24" t="n">
        <f aca="false">'Dados completos'!A211</f>
        <v>208</v>
      </c>
      <c r="B209" s="25" t="str">
        <f aca="false">'Dados completos'!AL211</f>
        <v>Monitorizar</v>
      </c>
      <c r="C209" s="24" t="n">
        <f aca="false">'Dados completos'!Y211</f>
        <v>3.2</v>
      </c>
      <c r="D209" s="26" t="n">
        <f aca="false">'Dados completos'!AF211</f>
        <v>92.5</v>
      </c>
      <c r="E209" s="27" t="n">
        <f aca="false">'Dados completos'!AH211</f>
        <v>0.1812</v>
      </c>
      <c r="F209" s="28" t="str">
        <f aca="false">'Dados completos'!AI211</f>
        <v>—</v>
      </c>
      <c r="G209" s="29" t="str">
        <f aca="false">'Dados completos'!B211</f>
        <v>Baker Tilly Portugal</v>
      </c>
      <c r="H209" s="30" t="str">
        <f aca="false">'Dados completos'!C211</f>
        <v>Academy Training Program</v>
      </c>
      <c r="I209" s="30" t="str">
        <f aca="false">'Dados completos'!E211</f>
        <v>Big 4 / consultoria</v>
      </c>
      <c r="J209" s="24" t="str">
        <f aca="false">'Dados completos'!F211</f>
        <v>Portugal</v>
      </c>
      <c r="K209" s="30" t="str">
        <f aca="false">'Dados completos'!G211</f>
        <v>Lisboa</v>
      </c>
      <c r="L209" s="30" t="str">
        <f aca="false">'Dados completos'!H211</f>
        <v>Não indicado (provável presencial)</v>
      </c>
      <c r="M209" s="30" t="str">
        <f aca="false">'Dados completos'!I211</f>
        <v>Não indicado</v>
      </c>
      <c r="N209" s="31" t="str">
        <f aca="false">'Dados completos'!O211</f>
        <v>Não indicado</v>
      </c>
      <c r="O209" s="28" t="str">
        <f aca="false">'Dados completos'!V211</f>
        <v>Média</v>
      </c>
      <c r="P209" s="30" t="str">
        <f aca="false">IF('Dados completos'!R211="","n/d",IF('Dados completos'!R211='Dados completos'!S211,TEXT('Dados completos'!R211,"#,##0"),TEXT('Dados completos'!R211,"#,##0")&amp;", "&amp;TEXT('Dados completos'!S211,"#,##0")))</f>
        <v>1,100, 1,400</v>
      </c>
      <c r="Q209" s="30" t="str">
        <f aca="false">'Dados completos'!M211</f>
        <v>Inglês (ver oferta)</v>
      </c>
      <c r="R209" s="30" t="str">
        <f aca="false">'Dados completos'!AJ211</f>
        <v>Língua-chave PT (exigência 0.3); não exige experiência prévia em finanças; aceita recém-licenciadas.</v>
      </c>
      <c r="S209" s="30" t="str">
        <f aca="false">'Dados completos'!AK211</f>
        <v>Monitorizar (edição 2027 ainda por abrir)</v>
      </c>
      <c r="T209" s="24" t="str">
        <f aca="false">'Dados completos'!AP211</f>
        <v>Parcial (agregador/título)</v>
      </c>
      <c r="U209" s="30" t="str">
        <f aca="false">'Dados completos'!AO211</f>
        <v>Página de carreiras (procurar a vaga)</v>
      </c>
      <c r="V209" s="32" t="str">
        <f aca="false">HYPERLINK('Dados completos'!AN211,"Abrir")</f>
        <v>Abrir</v>
      </c>
    </row>
    <row r="210" customFormat="false" ht="45.75" hidden="false" customHeight="true" outlineLevel="0" collapsed="false">
      <c r="A210" s="24" t="n">
        <f aca="false">'Dados completos'!A181</f>
        <v>178</v>
      </c>
      <c r="B210" s="25" t="str">
        <f aca="false">'Dados completos'!AL181</f>
        <v>Prazo passado</v>
      </c>
      <c r="C210" s="24" t="n">
        <f aca="false">'Dados completos'!Y181</f>
        <v>3.7</v>
      </c>
      <c r="D210" s="26" t="n">
        <f aca="false">'Dados completos'!AF181</f>
        <v>81.75</v>
      </c>
      <c r="E210" s="27" t="n">
        <f aca="false">'Dados completos'!AH181</f>
        <v>0.11048</v>
      </c>
      <c r="F210" s="28" t="str">
        <f aca="false">'Dados completos'!AI181</f>
        <v>—</v>
      </c>
      <c r="G210" s="29" t="str">
        <f aca="false">'Dados completos'!B181</f>
        <v>BNP Paribas CIB</v>
      </c>
      <c r="H210" s="30" t="str">
        <f aca="false">'Dados completos'!C181</f>
        <v>Financial Resources Analytics Intern (Global Markets, Lisboa)</v>
      </c>
      <c r="I210" s="30" t="str">
        <f aca="false">'Dados completos'!E181</f>
        <v>Banca comercial</v>
      </c>
      <c r="J210" s="24" t="str">
        <f aca="false">'Dados completos'!F181</f>
        <v>Portugal</v>
      </c>
      <c r="K210" s="30" t="str">
        <f aca="false">'Dados completos'!G181</f>
        <v>Lisboa</v>
      </c>
      <c r="L210" s="30" t="str">
        <f aca="false">'Dados completos'!H181</f>
        <v>Não indicado (provável presencial)</v>
      </c>
      <c r="M210" s="30" t="str">
        <f aca="false">'Dados completos'!I181</f>
        <v>Não indicado</v>
      </c>
      <c r="N210" s="31" t="str">
        <f aca="false">'Dados completos'!O181</f>
        <v>Não indicado</v>
      </c>
      <c r="O210" s="28" t="str">
        <f aca="false">'Dados completos'!V181</f>
        <v>Média-alta</v>
      </c>
      <c r="P210" s="30" t="str">
        <f aca="false">IF('Dados completos'!R181="","n/d",IF('Dados completos'!R181='Dados completos'!S181,TEXT('Dados completos'!R181,"#,##0"),TEXT('Dados completos'!R181,"#,##0")&amp;", "&amp;TEXT('Dados completos'!S181,"#,##0")))</f>
        <v>1,100, 1,500</v>
      </c>
      <c r="Q210" s="30" t="str">
        <f aca="false">'Dados completos'!M181</f>
        <v>Inglês fluente</v>
      </c>
      <c r="R210" s="30" t="str">
        <f aca="false">'Dados completos'!AJ181</f>
        <v>Língua-chave EN (exigência 1); não exige experiência prévia em finanças; aceita recém-licenciadas.</v>
      </c>
      <c r="S210" s="30" t="str">
        <f aca="false">'Dados completos'!AK181</f>
        <v>Prazo expirado</v>
      </c>
      <c r="T210" s="24" t="str">
        <f aca="false">'Dados completos'!AP181</f>
        <v>Verificada na página</v>
      </c>
      <c r="U210" s="30" t="str">
        <f aca="false">'Dados completos'!AO181</f>
        <v>Direto (site/ATS da empresa)</v>
      </c>
      <c r="V210" s="32" t="str">
        <f aca="false">HYPERLINK('Dados completos'!AN181,"Abrir")</f>
        <v>Abrir</v>
      </c>
    </row>
    <row r="211" customFormat="false" ht="45.75" hidden="false" customHeight="true" outlineLevel="0" collapsed="false">
      <c r="A211" s="24" t="n">
        <f aca="false">'Dados completos'!A213</f>
        <v>210</v>
      </c>
      <c r="B211" s="25" t="str">
        <f aca="false">'Dados completos'!AL213</f>
        <v>Monitorizar</v>
      </c>
      <c r="C211" s="24" t="n">
        <f aca="false">'Dados completos'!Y213</f>
        <v>3.8</v>
      </c>
      <c r="D211" s="26" t="n">
        <f aca="false">'Dados completos'!AF213</f>
        <v>92.5</v>
      </c>
      <c r="E211" s="27" t="n">
        <f aca="false">'Dados completos'!AH213</f>
        <v>0.1208</v>
      </c>
      <c r="F211" s="28" t="str">
        <f aca="false">'Dados completos'!AI213</f>
        <v>—</v>
      </c>
      <c r="G211" s="29" t="str">
        <f aca="false">'Dados completos'!B213</f>
        <v>Banco BPI</v>
      </c>
      <c r="H211" s="30" t="str">
        <f aca="false">'Dados completos'!C213</f>
        <v>Programa de Trainees (12 meses, contrato sem termo)</v>
      </c>
      <c r="I211" s="30" t="str">
        <f aca="false">'Dados completos'!E213</f>
        <v>Banca comercial</v>
      </c>
      <c r="J211" s="24" t="str">
        <f aca="false">'Dados completos'!F213</f>
        <v>Portugal</v>
      </c>
      <c r="K211" s="30" t="str">
        <f aca="false">'Dados completos'!G213</f>
        <v>Lisboa</v>
      </c>
      <c r="L211" s="30" t="str">
        <f aca="false">'Dados completos'!H213</f>
        <v>Não indicado (provável presencial)</v>
      </c>
      <c r="M211" s="30" t="str">
        <f aca="false">'Dados completos'!I213</f>
        <v>Não indicado</v>
      </c>
      <c r="N211" s="31" t="str">
        <f aca="false">'Dados completos'!O213</f>
        <v>Não indicado</v>
      </c>
      <c r="O211" s="28" t="str">
        <f aca="false">'Dados completos'!V213</f>
        <v>Média-alta</v>
      </c>
      <c r="P211" s="30" t="str">
        <f aca="false">IF('Dados completos'!R213="","n/d",IF('Dados completos'!R213='Dados completos'!S213,TEXT('Dados completos'!R213,"#,##0"),TEXT('Dados completos'!R213,"#,##0")&amp;", "&amp;TEXT('Dados completos'!S213,"#,##0")))</f>
        <v>1,200, 1,600</v>
      </c>
      <c r="Q211" s="30" t="str">
        <f aca="false">'Dados completos'!M213</f>
        <v>Inglês (ver oferta)</v>
      </c>
      <c r="R211" s="30" t="str">
        <f aca="false">'Dados completos'!AJ213</f>
        <v>Língua-chave PT (exigência 0.3); não exige experiência prévia em finanças; aceita recém-licenciadas.</v>
      </c>
      <c r="S211" s="30" t="str">
        <f aca="false">'Dados completos'!AK213</f>
        <v>Monitorizar (edição 2027 ainda por abrir)</v>
      </c>
      <c r="T211" s="24" t="str">
        <f aca="false">'Dados completos'!AP213</f>
        <v>Parcial (agregador/título)</v>
      </c>
      <c r="U211" s="30" t="str">
        <f aca="false">'Dados completos'!AO213</f>
        <v>Página de carreiras (procurar a vaga)</v>
      </c>
      <c r="V211" s="32" t="str">
        <f aca="false">HYPERLINK('Dados completos'!AN213,"Abrir")</f>
        <v>Abrir</v>
      </c>
    </row>
    <row r="212" customFormat="false" ht="45.75" hidden="false" customHeight="true" outlineLevel="0" collapsed="false">
      <c r="A212" s="24" t="n">
        <f aca="false">'Dados completos'!A182</f>
        <v>179</v>
      </c>
      <c r="B212" s="25" t="str">
        <f aca="false">'Dados completos'!AL182</f>
        <v>Monitorizar</v>
      </c>
      <c r="C212" s="24" t="n">
        <f aca="false">'Dados completos'!Y182</f>
        <v>3.5</v>
      </c>
      <c r="D212" s="26" t="n">
        <f aca="false">'Dados completos'!AF182</f>
        <v>85</v>
      </c>
      <c r="E212" s="27" t="n">
        <f aca="false">'Dados completos'!AH182</f>
        <v>0.1136</v>
      </c>
      <c r="F212" s="28" t="str">
        <f aca="false">'Dados completos'!AI182</f>
        <v>—</v>
      </c>
      <c r="G212" s="29" t="str">
        <f aca="false">'Dados completos'!B182</f>
        <v>Banco BPI</v>
      </c>
      <c r="H212" s="30" t="str">
        <f aca="false">'Dados completos'!C182</f>
        <v>Academias BPI 2026/2027 (Comercial, Riscos, Private Banking)</v>
      </c>
      <c r="I212" s="30" t="str">
        <f aca="false">'Dados completos'!E182</f>
        <v>Banca comercial</v>
      </c>
      <c r="J212" s="24" t="str">
        <f aca="false">'Dados completos'!F182</f>
        <v>Portugal</v>
      </c>
      <c r="K212" s="30" t="str">
        <f aca="false">'Dados completos'!G182</f>
        <v>Lisboa</v>
      </c>
      <c r="L212" s="30" t="str">
        <f aca="false">'Dados completos'!H182</f>
        <v>Não indicado (provável presencial)</v>
      </c>
      <c r="M212" s="30" t="str">
        <f aca="false">'Dados completos'!I182</f>
        <v>Não indicado</v>
      </c>
      <c r="N212" s="31" t="str">
        <f aca="false">'Dados completos'!O182</f>
        <v>Não indicado</v>
      </c>
      <c r="O212" s="28" t="str">
        <f aca="false">'Dados completos'!V182</f>
        <v>Média-alta</v>
      </c>
      <c r="P212" s="30" t="str">
        <f aca="false">IF('Dados completos'!R182="","n/d",IF('Dados completos'!R182='Dados completos'!S182,TEXT('Dados completos'!R182,"#,##0"),TEXT('Dados completos'!R182,"#,##0")&amp;", "&amp;TEXT('Dados completos'!S182,"#,##0")))</f>
        <v>1,100, 1,500</v>
      </c>
      <c r="Q212" s="30" t="str">
        <f aca="false">'Dados completos'!M182</f>
        <v>Inglês (ver oferta)</v>
      </c>
      <c r="R212" s="30" t="str">
        <f aca="false">'Dados completos'!AJ182</f>
        <v>Língua-chave PT (exigência 0.3); não exige experiência prévia em finanças.</v>
      </c>
      <c r="S212" s="30" t="str">
        <f aca="false">'Dados completos'!AK182</f>
        <v>Monitorizar (edição 2027 ainda por abrir)</v>
      </c>
      <c r="T212" s="24" t="str">
        <f aca="false">'Dados completos'!AP182</f>
        <v>Parcial (agregador/título)</v>
      </c>
      <c r="U212" s="30" t="str">
        <f aca="false">'Dados completos'!AO182</f>
        <v>Página de carreiras (procurar a vaga)</v>
      </c>
      <c r="V212" s="32" t="str">
        <f aca="false">HYPERLINK('Dados completos'!AN182,"Abrir")</f>
        <v>Abrir</v>
      </c>
    </row>
    <row r="213" customFormat="false" ht="45.75" hidden="false" customHeight="true" outlineLevel="0" collapsed="false">
      <c r="A213" s="24" t="n">
        <f aca="false">'Dados completos'!A206</f>
        <v>203</v>
      </c>
      <c r="B213" s="25" t="str">
        <f aca="false">'Dados completos'!AL206</f>
        <v>Monitorizar</v>
      </c>
      <c r="C213" s="24" t="n">
        <f aca="false">'Dados completos'!Y206</f>
        <v>3.5</v>
      </c>
      <c r="D213" s="26" t="n">
        <f aca="false">'Dados completos'!AF206</f>
        <v>85</v>
      </c>
      <c r="E213" s="27" t="n">
        <f aca="false">'Dados completos'!AH206</f>
        <v>0.1136</v>
      </c>
      <c r="F213" s="28" t="str">
        <f aca="false">'Dados completos'!AI206</f>
        <v>—</v>
      </c>
      <c r="G213" s="29" t="str">
        <f aca="false">'Dados completos'!B206</f>
        <v>Fidelidade</v>
      </c>
      <c r="H213" s="30" t="str">
        <f aca="false">'Dados completos'!C206</f>
        <v>Boomerang (trainees, 10 meses)</v>
      </c>
      <c r="I213" s="30" t="str">
        <f aca="false">'Dados completos'!E206</f>
        <v>Seguradora</v>
      </c>
      <c r="J213" s="24" t="str">
        <f aca="false">'Dados completos'!F206</f>
        <v>Portugal</v>
      </c>
      <c r="K213" s="30" t="str">
        <f aca="false">'Dados completos'!G206</f>
        <v>Lisboa</v>
      </c>
      <c r="L213" s="30" t="str">
        <f aca="false">'Dados completos'!H206</f>
        <v>Não indicado (provável presencial)</v>
      </c>
      <c r="M213" s="30" t="str">
        <f aca="false">'Dados completos'!I206</f>
        <v>Não indicado</v>
      </c>
      <c r="N213" s="31" t="str">
        <f aca="false">'Dados completos'!O206</f>
        <v>Não indicado</v>
      </c>
      <c r="O213" s="28" t="str">
        <f aca="false">'Dados completos'!V206</f>
        <v>Média-alta</v>
      </c>
      <c r="P213" s="30" t="str">
        <f aca="false">IF('Dados completos'!R206="","n/d",IF('Dados completos'!R206='Dados completos'!S206,TEXT('Dados completos'!R206,"#,##0"),TEXT('Dados completos'!R206,"#,##0")&amp;", "&amp;TEXT('Dados completos'!S206,"#,##0")))</f>
        <v>1,200, 1,600</v>
      </c>
      <c r="Q213" s="30" t="str">
        <f aca="false">'Dados completos'!M206</f>
        <v>Inglês (ver oferta)</v>
      </c>
      <c r="R213" s="30" t="str">
        <f aca="false">'Dados completos'!AJ206</f>
        <v>Língua-chave PT (exigência 0.3); não exige experiência prévia em finanças.</v>
      </c>
      <c r="S213" s="30" t="str">
        <f aca="false">'Dados completos'!AK206</f>
        <v>Monitorizar (edição 2027 ainda por abrir)</v>
      </c>
      <c r="T213" s="24" t="str">
        <f aca="false">'Dados completos'!AP206</f>
        <v>Parcial (agregador/título)</v>
      </c>
      <c r="U213" s="30" t="str">
        <f aca="false">'Dados completos'!AO206</f>
        <v>Página de carreiras (procurar a vaga)</v>
      </c>
      <c r="V213" s="32" t="str">
        <f aca="false">HYPERLINK('Dados completos'!AN206,"Abrir")</f>
        <v>Abrir</v>
      </c>
    </row>
    <row r="214" customFormat="false" ht="45.75" hidden="false" customHeight="true" outlineLevel="0" collapsed="false">
      <c r="A214" s="24" t="n">
        <f aca="false">'Dados completos'!A185</f>
        <v>182</v>
      </c>
      <c r="B214" s="25" t="str">
        <f aca="false">'Dados completos'!AL185</f>
        <v>Prazo passado</v>
      </c>
      <c r="C214" s="24" t="n">
        <f aca="false">'Dados completos'!Y185</f>
        <v>3.5</v>
      </c>
      <c r="D214" s="26" t="n">
        <f aca="false">'Dados completos'!AF185</f>
        <v>92.5</v>
      </c>
      <c r="E214" s="27" t="n">
        <f aca="false">'Dados completos'!AH185</f>
        <v>0.1208</v>
      </c>
      <c r="F214" s="28" t="str">
        <f aca="false">'Dados completos'!AI185</f>
        <v>—</v>
      </c>
      <c r="G214" s="29" t="str">
        <f aca="false">'Dados completos'!B185</f>
        <v>KPMG Portugal</v>
      </c>
      <c r="H214" s="30" t="str">
        <f aca="false">'Dados completos'!C185</f>
        <v>Estágios, área económico-financeira (duas janelas por ano)</v>
      </c>
      <c r="I214" s="30" t="str">
        <f aca="false">'Dados completos'!E185</f>
        <v>Big 4 / consultoria</v>
      </c>
      <c r="J214" s="24" t="str">
        <f aca="false">'Dados completos'!F185</f>
        <v>Portugal</v>
      </c>
      <c r="K214" s="30" t="str">
        <f aca="false">'Dados completos'!G185</f>
        <v>Lisboa</v>
      </c>
      <c r="L214" s="30" t="str">
        <f aca="false">'Dados completos'!H185</f>
        <v>Não indicado (provável presencial)</v>
      </c>
      <c r="M214" s="30" t="str">
        <f aca="false">'Dados completos'!I185</f>
        <v>Não indicado</v>
      </c>
      <c r="N214" s="31" t="n">
        <f aca="false">'Dados completos'!O185</f>
        <v>46310</v>
      </c>
      <c r="O214" s="28" t="str">
        <f aca="false">'Dados completos'!V185</f>
        <v>Média-alta</v>
      </c>
      <c r="P214" s="30" t="str">
        <f aca="false">IF('Dados completos'!R185="","n/d",IF('Dados completos'!R185='Dados completos'!S185,TEXT('Dados completos'!R185,"#,##0"),TEXT('Dados completos'!R185,"#,##0")&amp;", "&amp;TEXT('Dados completos'!S185,"#,##0")))</f>
        <v>1,000, 1,300</v>
      </c>
      <c r="Q214" s="30" t="str">
        <f aca="false">'Dados completos'!M185</f>
        <v>Inglês (ver oferta)</v>
      </c>
      <c r="R214" s="30" t="str">
        <f aca="false">'Dados completos'!AJ185</f>
        <v>Língua-chave PT (exigência 0.3); não exige experiência prévia em finanças; aceita recém-licenciadas.</v>
      </c>
      <c r="S214" s="30" t="str">
        <f aca="false">'Dados completos'!AK185</f>
        <v>Prazo expirado</v>
      </c>
      <c r="T214" s="24" t="str">
        <f aca="false">'Dados completos'!AP185</f>
        <v>Verificada na página</v>
      </c>
      <c r="U214" s="30" t="str">
        <f aca="false">'Dados completos'!AO185</f>
        <v>Página de carreiras (procurar a vaga)</v>
      </c>
      <c r="V214" s="32" t="str">
        <f aca="false">HYPERLINK('Dados completos'!AN185,"Abrir")</f>
        <v>Abrir</v>
      </c>
    </row>
    <row r="215" customFormat="false" ht="45.75" hidden="false" customHeight="true" outlineLevel="0" collapsed="false">
      <c r="A215" s="24" t="n">
        <f aca="false">'Dados completos'!A186</f>
        <v>183</v>
      </c>
      <c r="B215" s="25" t="str">
        <f aca="false">'Dados completos'!AL186</f>
        <v>Monitorizar</v>
      </c>
      <c r="C215" s="24" t="n">
        <f aca="false">'Dados completos'!Y186</f>
        <v>3.5</v>
      </c>
      <c r="D215" s="26" t="n">
        <f aca="false">'Dados completos'!AF186</f>
        <v>92.5</v>
      </c>
      <c r="E215" s="27" t="n">
        <f aca="false">'Dados completos'!AH186</f>
        <v>0.1208</v>
      </c>
      <c r="F215" s="28" t="str">
        <f aca="false">'Dados completos'!AI186</f>
        <v>—</v>
      </c>
      <c r="G215" s="29" t="str">
        <f aca="false">'Dados completos'!B186</f>
        <v>PwC Portugal</v>
      </c>
      <c r="H215" s="30" t="str">
        <f aca="false">'Dados completos'!C186</f>
        <v>Recrutamento Anual (trainees, 12 meses)</v>
      </c>
      <c r="I215" s="30" t="str">
        <f aca="false">'Dados completos'!E186</f>
        <v>Big 4 / consultoria</v>
      </c>
      <c r="J215" s="24" t="str">
        <f aca="false">'Dados completos'!F186</f>
        <v>Portugal</v>
      </c>
      <c r="K215" s="30" t="str">
        <f aca="false">'Dados completos'!G186</f>
        <v>Lisboa</v>
      </c>
      <c r="L215" s="30" t="str">
        <f aca="false">'Dados completos'!H186</f>
        <v>Não indicado (provável presencial)</v>
      </c>
      <c r="M215" s="30" t="str">
        <f aca="false">'Dados completos'!I186</f>
        <v>Não indicado</v>
      </c>
      <c r="N215" s="31" t="str">
        <f aca="false">'Dados completos'!O186</f>
        <v>Não indicado</v>
      </c>
      <c r="O215" s="28" t="str">
        <f aca="false">'Dados completos'!V186</f>
        <v>Média-alta</v>
      </c>
      <c r="P215" s="30" t="str">
        <f aca="false">IF('Dados completos'!R186="","n/d",IF('Dados completos'!R186='Dados completos'!S186,TEXT('Dados completos'!R186,"#,##0"),TEXT('Dados completos'!R186,"#,##0")&amp;", "&amp;TEXT('Dados completos'!S186,"#,##0")))</f>
        <v>1,200, 1,500</v>
      </c>
      <c r="Q215" s="30" t="str">
        <f aca="false">'Dados completos'!M186</f>
        <v>Inglês (ver oferta)</v>
      </c>
      <c r="R215" s="30" t="str">
        <f aca="false">'Dados completos'!AJ186</f>
        <v>Língua-chave PT (exigência 0.3); não exige experiência prévia em finanças; aceita recém-licenciadas.</v>
      </c>
      <c r="S215" s="30" t="str">
        <f aca="false">'Dados completos'!AK186</f>
        <v>Monitorizar (edição 2027 ainda por abrir)</v>
      </c>
      <c r="T215" s="24" t="str">
        <f aca="false">'Dados completos'!AP186</f>
        <v>Parcial (agregador/título)</v>
      </c>
      <c r="U215" s="30" t="str">
        <f aca="false">'Dados completos'!AO186</f>
        <v>Direto (site/ATS da empresa)</v>
      </c>
      <c r="V215" s="32" t="str">
        <f aca="false">HYPERLINK('Dados completos'!AN186,"Abrir")</f>
        <v>Abrir</v>
      </c>
    </row>
    <row r="216" customFormat="false" ht="45.75" hidden="false" customHeight="true" outlineLevel="0" collapsed="false">
      <c r="A216" s="24" t="n">
        <f aca="false">'Dados completos'!A208</f>
        <v>205</v>
      </c>
      <c r="B216" s="25" t="str">
        <f aca="false">'Dados completos'!AL208</f>
        <v>Monitorizar</v>
      </c>
      <c r="C216" s="24" t="n">
        <f aca="false">'Dados completos'!Y208</f>
        <v>3.5</v>
      </c>
      <c r="D216" s="26" t="n">
        <f aca="false">'Dados completos'!AF208</f>
        <v>92.5</v>
      </c>
      <c r="E216" s="27" t="n">
        <f aca="false">'Dados completos'!AH208</f>
        <v>0.1208</v>
      </c>
      <c r="F216" s="28" t="str">
        <f aca="false">'Dados completos'!AI208</f>
        <v>—</v>
      </c>
      <c r="G216" s="29" t="str">
        <f aca="false">'Dados completos'!B208</f>
        <v>Natixis Portugal</v>
      </c>
      <c r="H216" s="30" t="str">
        <f aca="false">'Dados completos'!C208</f>
        <v>We Want You (trainee de 11 meses, Porto)</v>
      </c>
      <c r="I216" s="30" t="str">
        <f aca="false">'Dados completos'!E208</f>
        <v>Banca comercial</v>
      </c>
      <c r="J216" s="24" t="str">
        <f aca="false">'Dados completos'!F208</f>
        <v>Portugal</v>
      </c>
      <c r="K216" s="30" t="str">
        <f aca="false">'Dados completos'!G208</f>
        <v>Porto</v>
      </c>
      <c r="L216" s="30" t="str">
        <f aca="false">'Dados completos'!H208</f>
        <v>Não indicado (provável presencial)</v>
      </c>
      <c r="M216" s="30" t="str">
        <f aca="false">'Dados completos'!I208</f>
        <v>Não indicado</v>
      </c>
      <c r="N216" s="31" t="str">
        <f aca="false">'Dados completos'!O208</f>
        <v>Não indicado</v>
      </c>
      <c r="O216" s="28" t="str">
        <f aca="false">'Dados completos'!V208</f>
        <v>Média-alta</v>
      </c>
      <c r="P216" s="30" t="str">
        <f aca="false">IF('Dados completos'!R208="","n/d",IF('Dados completos'!R208='Dados completos'!S208,TEXT('Dados completos'!R208,"#,##0"),TEXT('Dados completos'!R208,"#,##0")&amp;", "&amp;TEXT('Dados completos'!S208,"#,##0")))</f>
        <v>1,100, 1,500</v>
      </c>
      <c r="Q216" s="30" t="str">
        <f aca="false">'Dados completos'!M208</f>
        <v>Inglês (ver oferta)</v>
      </c>
      <c r="R216" s="30" t="str">
        <f aca="false">'Dados completos'!AJ208</f>
        <v>Língua-chave PT (exigência 0.3); não exige experiência prévia em finanças; aceita recém-licenciadas.</v>
      </c>
      <c r="S216" s="30" t="str">
        <f aca="false">'Dados completos'!AK208</f>
        <v>Monitorizar (edição 2027 ainda por abrir)</v>
      </c>
      <c r="T216" s="24" t="str">
        <f aca="false">'Dados completos'!AP208</f>
        <v>Parcial (agregador/título)</v>
      </c>
      <c r="U216" s="30" t="str">
        <f aca="false">'Dados completos'!AO208</f>
        <v>Página de carreiras (procurar a vaga)</v>
      </c>
      <c r="V216" s="32" t="str">
        <f aca="false">HYPERLINK('Dados completos'!AN208,"Abrir")</f>
        <v>Abrir</v>
      </c>
    </row>
    <row r="217" customFormat="false" ht="45.75" hidden="false" customHeight="true" outlineLevel="0" collapsed="false">
      <c r="A217" s="24" t="n">
        <f aca="false">'Dados completos'!A212</f>
        <v>209</v>
      </c>
      <c r="B217" s="25" t="str">
        <f aca="false">'Dados completos'!AL212</f>
        <v>Monitorizar</v>
      </c>
      <c r="C217" s="24" t="n">
        <f aca="false">'Dados completos'!Y212</f>
        <v>3.5</v>
      </c>
      <c r="D217" s="26" t="n">
        <f aca="false">'Dados completos'!AF212</f>
        <v>92.5</v>
      </c>
      <c r="E217" s="27" t="n">
        <f aca="false">'Dados completos'!AH212</f>
        <v>0.1208</v>
      </c>
      <c r="F217" s="28" t="str">
        <f aca="false">'Dados completos'!AI212</f>
        <v>—</v>
      </c>
      <c r="G217" s="29" t="str">
        <f aca="false">'Dados completos'!B212</f>
        <v>novobanco</v>
      </c>
      <c r="H217" s="30" t="str">
        <f aca="false">'Dados completos'!C212</f>
        <v>Young Talent Program (trainees, 9 meses)</v>
      </c>
      <c r="I217" s="30" t="str">
        <f aca="false">'Dados completos'!E212</f>
        <v>Banca comercial</v>
      </c>
      <c r="J217" s="24" t="str">
        <f aca="false">'Dados completos'!F212</f>
        <v>Portugal</v>
      </c>
      <c r="K217" s="30" t="str">
        <f aca="false">'Dados completos'!G212</f>
        <v>Lisboa</v>
      </c>
      <c r="L217" s="30" t="str">
        <f aca="false">'Dados completos'!H212</f>
        <v>Não indicado (provável presencial)</v>
      </c>
      <c r="M217" s="30" t="str">
        <f aca="false">'Dados completos'!I212</f>
        <v>Não indicado</v>
      </c>
      <c r="N217" s="31" t="str">
        <f aca="false">'Dados completos'!O212</f>
        <v>Não indicado</v>
      </c>
      <c r="O217" s="28" t="str">
        <f aca="false">'Dados completos'!V212</f>
        <v>Média-alta</v>
      </c>
      <c r="P217" s="30" t="str">
        <f aca="false">IF('Dados completos'!R212="","n/d",IF('Dados completos'!R212='Dados completos'!S212,TEXT('Dados completos'!R212,"#,##0"),TEXT('Dados completos'!R212,"#,##0")&amp;", "&amp;TEXT('Dados completos'!S212,"#,##0")))</f>
        <v>1,100, 1,500</v>
      </c>
      <c r="Q217" s="30" t="str">
        <f aca="false">'Dados completos'!M212</f>
        <v>Inglês (ver oferta)</v>
      </c>
      <c r="R217" s="30" t="str">
        <f aca="false">'Dados completos'!AJ212</f>
        <v>Língua-chave PT (exigência 0.3); não exige experiência prévia em finanças; aceita recém-licenciadas.</v>
      </c>
      <c r="S217" s="30" t="str">
        <f aca="false">'Dados completos'!AK212</f>
        <v>Monitorizar (edição 2027 ainda por abrir)</v>
      </c>
      <c r="T217" s="24" t="str">
        <f aca="false">'Dados completos'!AP212</f>
        <v>Parcial (agregador/título)</v>
      </c>
      <c r="U217" s="30" t="str">
        <f aca="false">'Dados completos'!AO212</f>
        <v>Página de carreiras (procurar a vaga)</v>
      </c>
      <c r="V217" s="32" t="str">
        <f aca="false">HYPERLINK('Dados completos'!AN212,"Abrir")</f>
        <v>Abrir</v>
      </c>
    </row>
    <row r="218" customFormat="false" ht="45.75" hidden="false" customHeight="true" outlineLevel="0" collapsed="false">
      <c r="A218" s="24" t="n">
        <f aca="false">'Dados completos'!A204</f>
        <v>201</v>
      </c>
      <c r="B218" s="25" t="str">
        <f aca="false">'Dados completos'!AL204</f>
        <v>Prazo passado</v>
      </c>
      <c r="C218" s="24" t="n">
        <f aca="false">'Dados completos'!Y204</f>
        <v>3.4</v>
      </c>
      <c r="D218" s="26" t="n">
        <f aca="false">'Dados completos'!AF204</f>
        <v>91.75</v>
      </c>
      <c r="E218" s="27" t="n">
        <f aca="false">'Dados completos'!AH204</f>
        <v>0.12008</v>
      </c>
      <c r="F218" s="28" t="str">
        <f aca="false">'Dados completos'!AI204</f>
        <v>—</v>
      </c>
      <c r="G218" s="29" t="str">
        <f aca="false">'Dados completos'!B204</f>
        <v>UNICRE</v>
      </c>
      <c r="H218" s="30" t="str">
        <f aca="false">'Dados completos'!C204</f>
        <v>Unlocker Trainee, Analista de Pricing (estágio de 12 meses)</v>
      </c>
      <c r="I218" s="30" t="str">
        <f aca="false">'Dados completos'!E204</f>
        <v>Serviços financeiros</v>
      </c>
      <c r="J218" s="24" t="str">
        <f aca="false">'Dados completos'!F204</f>
        <v>Portugal</v>
      </c>
      <c r="K218" s="30" t="str">
        <f aca="false">'Dados completos'!G204</f>
        <v>Lisboa</v>
      </c>
      <c r="L218" s="30" t="str">
        <f aca="false">'Dados completos'!H204</f>
        <v>Não indicado (provável presencial)</v>
      </c>
      <c r="M218" s="30" t="str">
        <f aca="false">'Dados completos'!I204</f>
        <v>Não indicado</v>
      </c>
      <c r="N218" s="31" t="n">
        <f aca="false">'Dados completos'!O204</f>
        <v>46307</v>
      </c>
      <c r="O218" s="28" t="str">
        <f aca="false">'Dados completos'!V204</f>
        <v>Média-alta</v>
      </c>
      <c r="P218" s="30" t="str">
        <f aca="false">IF('Dados completos'!R204="","n/d",IF('Dados completos'!R204='Dados completos'!S204,TEXT('Dados completos'!R204,"#,##0"),TEXT('Dados completos'!R204,"#,##0")&amp;", "&amp;TEXT('Dados completos'!S204,"#,##0")))</f>
        <v>1,000, 1,300</v>
      </c>
      <c r="Q218" s="30" t="str">
        <f aca="false">'Dados completos'!M204</f>
        <v>Inglês (ver oferta)</v>
      </c>
      <c r="R218" s="30" t="str">
        <f aca="false">'Dados completos'!AJ204</f>
        <v>Língua-chave PT (exigência 0.3); não exige experiência prévia em finanças; aceita recém-licenciadas.</v>
      </c>
      <c r="S218" s="30" t="str">
        <f aca="false">'Dados completos'!AK204</f>
        <v>Prazo expirado</v>
      </c>
      <c r="T218" s="24" t="str">
        <f aca="false">'Dados completos'!AP204</f>
        <v>Verificada na página</v>
      </c>
      <c r="U218" s="30" t="str">
        <f aca="false">'Dados completos'!AO204</f>
        <v>Anúncio em plataforma</v>
      </c>
      <c r="V218" s="32" t="str">
        <f aca="false">HYPERLINK('Dados completos'!AN204,"Abrir")</f>
        <v>Abrir</v>
      </c>
    </row>
    <row r="219" customFormat="false" ht="45.75" hidden="false" customHeight="true" outlineLevel="0" collapsed="false">
      <c r="A219" s="24" t="n">
        <f aca="false">'Dados completos'!A207</f>
        <v>204</v>
      </c>
      <c r="B219" s="25" t="str">
        <f aca="false">'Dados completos'!AL207</f>
        <v>Monitorizar</v>
      </c>
      <c r="C219" s="24" t="n">
        <f aca="false">'Dados completos'!Y207</f>
        <v>3.4</v>
      </c>
      <c r="D219" s="26" t="n">
        <f aca="false">'Dados completos'!AF207</f>
        <v>90</v>
      </c>
      <c r="E219" s="27" t="n">
        <f aca="false">'Dados completos'!AH207</f>
        <v>0.1184</v>
      </c>
      <c r="F219" s="28" t="str">
        <f aca="false">'Dados completos'!AI207</f>
        <v>—</v>
      </c>
      <c r="G219" s="29" t="str">
        <f aca="false">'Dados completos'!B207</f>
        <v>Generali Tranquilidade</v>
      </c>
      <c r="H219" s="30" t="str">
        <f aca="false">'Dados completos'!C207</f>
        <v>Rocket (programa de trainees, 12 meses)</v>
      </c>
      <c r="I219" s="30" t="str">
        <f aca="false">'Dados completos'!E207</f>
        <v>Seguradora</v>
      </c>
      <c r="J219" s="24" t="str">
        <f aca="false">'Dados completos'!F207</f>
        <v>Portugal</v>
      </c>
      <c r="K219" s="30" t="str">
        <f aca="false">'Dados completos'!G207</f>
        <v>Lisboa</v>
      </c>
      <c r="L219" s="30" t="str">
        <f aca="false">'Dados completos'!H207</f>
        <v>Não indicado (provável presencial)</v>
      </c>
      <c r="M219" s="30" t="str">
        <f aca="false">'Dados completos'!I207</f>
        <v>Não indicado</v>
      </c>
      <c r="N219" s="31" t="str">
        <f aca="false">'Dados completos'!O207</f>
        <v>Não indicado</v>
      </c>
      <c r="O219" s="28" t="str">
        <f aca="false">'Dados completos'!V207</f>
        <v>Média-alta</v>
      </c>
      <c r="P219" s="30" t="str">
        <f aca="false">IF('Dados completos'!R207="","n/d",IF('Dados completos'!R207='Dados completos'!S207,TEXT('Dados completos'!R207,"#,##0"),TEXT('Dados completos'!R207,"#,##0")&amp;", "&amp;TEXT('Dados completos'!S207,"#,##0")))</f>
        <v>1,200, 1,500</v>
      </c>
      <c r="Q219" s="30" t="str">
        <f aca="false">'Dados completos'!M207</f>
        <v>Inglês (ver oferta)</v>
      </c>
      <c r="R219" s="30" t="str">
        <f aca="false">'Dados completos'!AJ207</f>
        <v>Língua-chave PT (exigência 0.3); não exige experiência prévia em finanças; aceita recém-licenciadas.</v>
      </c>
      <c r="S219" s="30" t="str">
        <f aca="false">'Dados completos'!AK207</f>
        <v>Monitorizar (edição 2027 ainda por abrir)</v>
      </c>
      <c r="T219" s="24" t="str">
        <f aca="false">'Dados completos'!AP207</f>
        <v>Parcial (agregador/título)</v>
      </c>
      <c r="U219" s="30" t="str">
        <f aca="false">'Dados completos'!AO207</f>
        <v>Página de carreiras (procurar a vaga)</v>
      </c>
      <c r="V219" s="32" t="str">
        <f aca="false">HYPERLINK('Dados completos'!AN207,"Abrir")</f>
        <v>Abrir</v>
      </c>
    </row>
    <row r="220" customFormat="false" ht="45.75" hidden="false" customHeight="true" outlineLevel="0" collapsed="false">
      <c r="A220" s="24" t="n">
        <f aca="false">'Dados completos'!A205</f>
        <v>202</v>
      </c>
      <c r="B220" s="25" t="str">
        <f aca="false">'Dados completos'!AL205</f>
        <v>Monitorizar</v>
      </c>
      <c r="C220" s="24" t="n">
        <f aca="false">'Dados completos'!Y205</f>
        <v>3.1</v>
      </c>
      <c r="D220" s="26" t="n">
        <f aca="false">'Dados completos'!AF205</f>
        <v>90</v>
      </c>
      <c r="E220" s="27" t="n">
        <f aca="false">'Dados completos'!AH205</f>
        <v>0.1184</v>
      </c>
      <c r="F220" s="28" t="str">
        <f aca="false">'Dados completos'!AI205</f>
        <v>—</v>
      </c>
      <c r="G220" s="29" t="str">
        <f aca="false">'Dados completos'!B205</f>
        <v>Cofidis Portugal</v>
      </c>
      <c r="H220" s="30" t="str">
        <f aca="false">'Dados completos'!C205</f>
        <v>Generation Pro (programa de 12 meses, dados, tecnologia e negócio)</v>
      </c>
      <c r="I220" s="30" t="str">
        <f aca="false">'Dados completos'!E205</f>
        <v>Serviços financeiros</v>
      </c>
      <c r="J220" s="24" t="str">
        <f aca="false">'Dados completos'!F205</f>
        <v>Portugal</v>
      </c>
      <c r="K220" s="30" t="str">
        <f aca="false">'Dados completos'!G205</f>
        <v>Lisboa</v>
      </c>
      <c r="L220" s="30" t="str">
        <f aca="false">'Dados completos'!H205</f>
        <v>Não indicado (provável presencial)</v>
      </c>
      <c r="M220" s="30" t="str">
        <f aca="false">'Dados completos'!I205</f>
        <v>Não indicado</v>
      </c>
      <c r="N220" s="31" t="str">
        <f aca="false">'Dados completos'!O205</f>
        <v>Não indicado</v>
      </c>
      <c r="O220" s="28" t="str">
        <f aca="false">'Dados completos'!V205</f>
        <v>Média-alta</v>
      </c>
      <c r="P220" s="30" t="str">
        <f aca="false">IF('Dados completos'!R205="","n/d",IF('Dados completos'!R205='Dados completos'!S205,TEXT('Dados completos'!R205,"#,##0"),TEXT('Dados completos'!R205,"#,##0")&amp;", "&amp;TEXT('Dados completos'!S205,"#,##0")))</f>
        <v>1,200, 1,600</v>
      </c>
      <c r="Q220" s="30" t="str">
        <f aca="false">'Dados completos'!M205</f>
        <v>Inglês (ver oferta)</v>
      </c>
      <c r="R220" s="30" t="str">
        <f aca="false">'Dados completos'!AJ205</f>
        <v>Língua-chave PT (exigência 0.3); não exige experiência prévia em finanças; aceita recém-licenciadas.</v>
      </c>
      <c r="S220" s="30" t="str">
        <f aca="false">'Dados completos'!AK205</f>
        <v>Monitorizar (edição 2027 ainda por abrir)</v>
      </c>
      <c r="T220" s="24" t="str">
        <f aca="false">'Dados completos'!AP205</f>
        <v>Parcial (agregador/título)</v>
      </c>
      <c r="U220" s="30" t="str">
        <f aca="false">'Dados completos'!AO205</f>
        <v>Direto (site/ATS da empresa)</v>
      </c>
      <c r="V220" s="32" t="str">
        <f aca="false">HYPERLINK('Dados completos'!AN205,"Abrir")</f>
        <v>Abrir</v>
      </c>
    </row>
    <row r="221" customFormat="false" ht="45.75" hidden="false" customHeight="true" outlineLevel="0" collapsed="false">
      <c r="A221" s="24" t="n">
        <f aca="false">'Dados completos'!A218</f>
        <v>215</v>
      </c>
      <c r="B221" s="25" t="str">
        <f aca="false">'Dados completos'!AL218</f>
        <v>Monitorizar</v>
      </c>
      <c r="C221" s="24" t="n">
        <f aca="false">'Dados completos'!Y218</f>
        <v>3.1</v>
      </c>
      <c r="D221" s="26" t="n">
        <f aca="false">'Dados completos'!AF218</f>
        <v>90</v>
      </c>
      <c r="E221" s="27" t="n">
        <f aca="false">'Dados completos'!AH218</f>
        <v>0.1184</v>
      </c>
      <c r="F221" s="28" t="str">
        <f aca="false">'Dados completos'!AI218</f>
        <v>—</v>
      </c>
      <c r="G221" s="29" t="str">
        <f aca="false">'Dados completos'!B218</f>
        <v>Banco CTT</v>
      </c>
      <c r="H221" s="30" t="str">
        <f aca="false">'Dados completos'!C218</f>
        <v>Programa de Trainees CTT</v>
      </c>
      <c r="I221" s="30" t="str">
        <f aca="false">'Dados completos'!E218</f>
        <v>Banca comercial</v>
      </c>
      <c r="J221" s="24" t="str">
        <f aca="false">'Dados completos'!F218</f>
        <v>Portugal</v>
      </c>
      <c r="K221" s="30" t="str">
        <f aca="false">'Dados completos'!G218</f>
        <v>Lisboa</v>
      </c>
      <c r="L221" s="30" t="str">
        <f aca="false">'Dados completos'!H218</f>
        <v>Não indicado (provável presencial)</v>
      </c>
      <c r="M221" s="30" t="str">
        <f aca="false">'Dados completos'!I218</f>
        <v>Não indicado</v>
      </c>
      <c r="N221" s="31" t="str">
        <f aca="false">'Dados completos'!O218</f>
        <v>Não indicado</v>
      </c>
      <c r="O221" s="28" t="str">
        <f aca="false">'Dados completos'!V218</f>
        <v>Média-alta</v>
      </c>
      <c r="P221" s="30" t="str">
        <f aca="false">IF('Dados completos'!R218="","n/d",IF('Dados completos'!R218='Dados completos'!S218,TEXT('Dados completos'!R218,"#,##0"),TEXT('Dados completos'!R218,"#,##0")&amp;", "&amp;TEXT('Dados completos'!S218,"#,##0")))</f>
        <v>1,100, 1,400</v>
      </c>
      <c r="Q221" s="30" t="str">
        <f aca="false">'Dados completos'!M218</f>
        <v>Inglês (ver oferta)</v>
      </c>
      <c r="R221" s="30" t="str">
        <f aca="false">'Dados completos'!AJ218</f>
        <v>Língua-chave PT (exigência 0.3); não exige experiência prévia em finanças; aceita recém-licenciadas.</v>
      </c>
      <c r="S221" s="30" t="str">
        <f aca="false">'Dados completos'!AK218</f>
        <v>Monitorizar (edição 2027 ainda por abrir)</v>
      </c>
      <c r="T221" s="24" t="str">
        <f aca="false">'Dados completos'!AP218</f>
        <v>Parcial (agregador/título)</v>
      </c>
      <c r="U221" s="30" t="str">
        <f aca="false">'Dados completos'!AO218</f>
        <v>Anúncio em plataforma</v>
      </c>
      <c r="V221" s="32" t="str">
        <f aca="false">HYPERLINK('Dados completos'!AN218,"Abrir")</f>
        <v>Abrir</v>
      </c>
    </row>
    <row r="222" customFormat="false" ht="45.75" hidden="false" customHeight="true" outlineLevel="0" collapsed="false">
      <c r="A222" s="24" t="n">
        <f aca="false">'Dados completos'!A172</f>
        <v>169</v>
      </c>
      <c r="B222" s="25" t="str">
        <f aca="false">'Dados completos'!AL172</f>
        <v>Prazo passado</v>
      </c>
      <c r="C222" s="24" t="n">
        <f aca="false">'Dados completos'!Y172</f>
        <v>2.9</v>
      </c>
      <c r="D222" s="26" t="n">
        <f aca="false">'Dados completos'!AF172</f>
        <v>92.5</v>
      </c>
      <c r="E222" s="27" t="n">
        <f aca="false">'Dados completos'!AH172</f>
        <v>0.1208</v>
      </c>
      <c r="F222" s="28" t="str">
        <f aca="false">'Dados completos'!AI172</f>
        <v>—</v>
      </c>
      <c r="G222" s="29" t="str">
        <f aca="false">'Dados completos'!B172</f>
        <v>Sumol+Compal</v>
      </c>
      <c r="H222" s="30" t="str">
        <f aca="false">'Dados completos'!C172</f>
        <v>Talent Seed 2027 (trainees, gestão/economia)</v>
      </c>
      <c r="I222" s="30" t="str">
        <f aca="false">'Dados completos'!E172</f>
        <v>Big corporate</v>
      </c>
      <c r="J222" s="24" t="str">
        <f aca="false">'Dados completos'!F172</f>
        <v>Portugal</v>
      </c>
      <c r="K222" s="30" t="str">
        <f aca="false">'Dados completos'!G172</f>
        <v>Lisboa</v>
      </c>
      <c r="L222" s="30" t="str">
        <f aca="false">'Dados completos'!H172</f>
        <v>Não indicado (provável presencial)</v>
      </c>
      <c r="M222" s="30" t="str">
        <f aca="false">'Dados completos'!I172</f>
        <v>Jan 2027</v>
      </c>
      <c r="N222" s="31" t="n">
        <f aca="false">'Dados completos'!O172</f>
        <v>46295</v>
      </c>
      <c r="O222" s="28" t="str">
        <f aca="false">'Dados completos'!V172</f>
        <v>Média-alta</v>
      </c>
      <c r="P222" s="30" t="str">
        <f aca="false">IF('Dados completos'!R172="","n/d",IF('Dados completos'!R172='Dados completos'!S172,TEXT('Dados completos'!R172,"#,##0"),TEXT('Dados completos'!R172,"#,##0")&amp;", "&amp;TEXT('Dados completos'!S172,"#,##0")))</f>
        <v>1,100, 1,500</v>
      </c>
      <c r="Q222" s="30" t="str">
        <f aca="false">'Dados completos'!M172</f>
        <v>Inglês (ver oferta)</v>
      </c>
      <c r="R222" s="30" t="str">
        <f aca="false">'Dados completos'!AJ172</f>
        <v>Língua-chave PT (exigência 0.3); não exige experiência prévia em finanças; aceita recém-licenciadas.</v>
      </c>
      <c r="S222" s="30" t="str">
        <f aca="false">'Dados completos'!AK172</f>
        <v>Prazo expirado</v>
      </c>
      <c r="T222" s="24" t="str">
        <f aca="false">'Dados completos'!AP172</f>
        <v>Parcial (agregador/título)</v>
      </c>
      <c r="U222" s="30" t="str">
        <f aca="false">'Dados completos'!AO172</f>
        <v>Direto (site/ATS da empresa)</v>
      </c>
      <c r="V222" s="32" t="str">
        <f aca="false">HYPERLINK('Dados completos'!AN172,"Abrir")</f>
        <v>Abrir</v>
      </c>
    </row>
    <row r="223" customFormat="false" ht="45.75" hidden="false" customHeight="true" outlineLevel="0" collapsed="false">
      <c r="A223" s="24" t="n">
        <f aca="false">'Dados completos'!A217</f>
        <v>214</v>
      </c>
      <c r="B223" s="25" t="str">
        <f aca="false">'Dados completos'!AL217</f>
        <v>Monitorizar</v>
      </c>
      <c r="C223" s="24" t="n">
        <f aca="false">'Dados completos'!Y217</f>
        <v>2.8</v>
      </c>
      <c r="D223" s="26" t="n">
        <f aca="false">'Dados completos'!AF217</f>
        <v>90</v>
      </c>
      <c r="E223" s="27" t="n">
        <f aca="false">'Dados completos'!AH217</f>
        <v>0.1184</v>
      </c>
      <c r="F223" s="28" t="str">
        <f aca="false">'Dados completos'!AI217</f>
        <v>—</v>
      </c>
      <c r="G223" s="29" t="str">
        <f aca="false">'Dados completos'!B217</f>
        <v>Vodafone Portugal</v>
      </c>
      <c r="H223" s="30" t="str">
        <f aca="false">'Dados completos'!C217</f>
        <v>FutureRED (trainees)</v>
      </c>
      <c r="I223" s="30" t="str">
        <f aca="false">'Dados completos'!E217</f>
        <v>Big corporate</v>
      </c>
      <c r="J223" s="24" t="str">
        <f aca="false">'Dados completos'!F217</f>
        <v>Portugal</v>
      </c>
      <c r="K223" s="30" t="str">
        <f aca="false">'Dados completos'!G217</f>
        <v>Lisboa</v>
      </c>
      <c r="L223" s="30" t="str">
        <f aca="false">'Dados completos'!H217</f>
        <v>Não indicado (provável presencial)</v>
      </c>
      <c r="M223" s="30" t="str">
        <f aca="false">'Dados completos'!I217</f>
        <v>Set 2027</v>
      </c>
      <c r="N223" s="31" t="str">
        <f aca="false">'Dados completos'!O217</f>
        <v>Não indicado</v>
      </c>
      <c r="O223" s="28" t="str">
        <f aca="false">'Dados completos'!V217</f>
        <v>Média-alta</v>
      </c>
      <c r="P223" s="30" t="str">
        <f aca="false">IF('Dados completos'!R217="","n/d",IF('Dados completos'!R217='Dados completos'!S217,TEXT('Dados completos'!R217,"#,##0"),TEXT('Dados completos'!R217,"#,##0")&amp;", "&amp;TEXT('Dados completos'!S217,"#,##0")))</f>
        <v>1,200, 1,600</v>
      </c>
      <c r="Q223" s="30" t="str">
        <f aca="false">'Dados completos'!M217</f>
        <v>Inglês (ver oferta)</v>
      </c>
      <c r="R223" s="30" t="str">
        <f aca="false">'Dados completos'!AJ217</f>
        <v>Língua-chave PT (exigência 0.3); não exige experiência prévia em finanças; aceita recém-licenciadas.</v>
      </c>
      <c r="S223" s="30" t="str">
        <f aca="false">'Dados completos'!AK217</f>
        <v>Monitorizar (edição 2027 ainda por abrir)</v>
      </c>
      <c r="T223" s="24" t="str">
        <f aca="false">'Dados completos'!AP217</f>
        <v>Parcial (agregador/título)</v>
      </c>
      <c r="U223" s="30" t="str">
        <f aca="false">'Dados completos'!AO217</f>
        <v>Anúncio em plataforma</v>
      </c>
      <c r="V223" s="32" t="str">
        <f aca="false">HYPERLINK('Dados completos'!AN217,"Abrir")</f>
        <v>Abrir</v>
      </c>
    </row>
    <row r="224" customFormat="false" ht="45.75" hidden="false" customHeight="true" outlineLevel="0" collapsed="false">
      <c r="A224" s="24" t="n">
        <f aca="false">'Dados completos'!A136</f>
        <v>133</v>
      </c>
      <c r="B224" s="25" t="str">
        <f aca="false">'Dados completos'!AL136</f>
        <v>Prazo passado</v>
      </c>
      <c r="C224" s="24" t="n">
        <f aca="false">'Dados completos'!Y136</f>
        <v>3.1</v>
      </c>
      <c r="D224" s="26" t="n">
        <f aca="false">'Dados completos'!AF136</f>
        <v>60.5</v>
      </c>
      <c r="E224" s="27" t="n">
        <f aca="false">'Dados completos'!AH136</f>
        <v>0.03378</v>
      </c>
      <c r="F224" s="28" t="str">
        <f aca="false">'Dados completos'!AI136</f>
        <v>—</v>
      </c>
      <c r="G224" s="29" t="str">
        <f aca="false">'Dados completos'!B136</f>
        <v>Piper Sandler</v>
      </c>
      <c r="H224" s="30" t="str">
        <f aca="false">'Dados completos'!C136</f>
        <v>Off-Cycle Internship Programme (Londres)</v>
      </c>
      <c r="I224" s="30" t="str">
        <f aca="false">'Dados completos'!E136</f>
        <v>Banca de investimento / boutique</v>
      </c>
      <c r="J224" s="24" t="str">
        <f aca="false">'Dados completos'!F136</f>
        <v>Reino Unido</v>
      </c>
      <c r="K224" s="30" t="str">
        <f aca="false">'Dados completos'!G136</f>
        <v>Londres</v>
      </c>
      <c r="L224" s="30" t="str">
        <f aca="false">'Dados completos'!H136</f>
        <v>Não indicado (provável presencial)</v>
      </c>
      <c r="M224" s="30" t="str">
        <f aca="false">'Dados completos'!I136</f>
        <v>Por confirmar</v>
      </c>
      <c r="N224" s="31" t="n">
        <f aca="false">'Dados completos'!O136</f>
        <v>46299</v>
      </c>
      <c r="O224" s="28" t="str">
        <f aca="false">'Dados completos'!V136</f>
        <v>Alta</v>
      </c>
      <c r="P224" s="30" t="str">
        <f aca="false">IF('Dados completos'!R136="","n/d",IF('Dados completos'!R136='Dados completos'!S136,TEXT('Dados completos'!R136,"#,##0"),TEXT('Dados completos'!R136,"#,##0")&amp;", "&amp;TEXT('Dados completos'!S136,"#,##0")))</f>
        <v>2,800, 4,000</v>
      </c>
      <c r="Q224" s="30" t="str">
        <f aca="false">'Dados completos'!M136</f>
        <v>Inglês (ver oferta)</v>
      </c>
      <c r="R224" s="30" t="str">
        <f aca="false">'Dados completos'!AJ136</f>
        <v>Língua-chave EN (exigência 1); experiência prévia em finanças valorizada, CV tem pouca; exige mestrado em curso ou convenção de estágio, risco.</v>
      </c>
      <c r="S224" s="30" t="str">
        <f aca="false">'Dados completos'!AK136</f>
        <v>Prazo expirado</v>
      </c>
      <c r="T224" s="24" t="str">
        <f aca="false">'Dados completos'!AP136</f>
        <v>Parcial (agregador/título)</v>
      </c>
      <c r="U224" s="30" t="str">
        <f aca="false">'Dados completos'!AO136</f>
        <v>Direto (site/ATS da empresa)</v>
      </c>
      <c r="V224" s="32" t="str">
        <f aca="false">HYPERLINK('Dados completos'!AN136,"Abrir")</f>
        <v>Abrir</v>
      </c>
    </row>
    <row r="225" customFormat="false" ht="45.75" hidden="false" customHeight="true" outlineLevel="0" collapsed="false">
      <c r="A225" s="24" t="n">
        <f aca="false">'Dados completos'!A215</f>
        <v>212</v>
      </c>
      <c r="B225" s="25" t="str">
        <f aca="false">'Dados completos'!AL215</f>
        <v>Monitorizar</v>
      </c>
      <c r="C225" s="24" t="n">
        <f aca="false">'Dados completos'!Y215</f>
        <v>2.7</v>
      </c>
      <c r="D225" s="26" t="n">
        <f aca="false">'Dados completos'!AF215</f>
        <v>86.75</v>
      </c>
      <c r="E225" s="27" t="n">
        <f aca="false">'Dados completos'!AH215</f>
        <v>0.04323</v>
      </c>
      <c r="F225" s="28" t="str">
        <f aca="false">'Dados completos'!AI215</f>
        <v>—</v>
      </c>
      <c r="G225" s="29" t="str">
        <f aca="false">'Dados completos'!B215</f>
        <v>EDP</v>
      </c>
      <c r="H225" s="30" t="str">
        <f aca="false">'Dados completos'!C215</f>
        <v>Global Graduate Program (18 meses, três rotações)</v>
      </c>
      <c r="I225" s="30" t="str">
        <f aca="false">'Dados completos'!E215</f>
        <v>Big corporate</v>
      </c>
      <c r="J225" s="24" t="str">
        <f aca="false">'Dados completos'!F215</f>
        <v>Portugal</v>
      </c>
      <c r="K225" s="30" t="str">
        <f aca="false">'Dados completos'!G215</f>
        <v>Lisboa</v>
      </c>
      <c r="L225" s="30" t="str">
        <f aca="false">'Dados completos'!H215</f>
        <v>Não indicado (provável presencial)</v>
      </c>
      <c r="M225" s="30" t="str">
        <f aca="false">'Dados completos'!I215</f>
        <v>Não indicado</v>
      </c>
      <c r="N225" s="31" t="str">
        <f aca="false">'Dados completos'!O215</f>
        <v>Não indicado</v>
      </c>
      <c r="O225" s="28" t="str">
        <f aca="false">'Dados completos'!V215</f>
        <v>Alta</v>
      </c>
      <c r="P225" s="30" t="str">
        <f aca="false">IF('Dados completos'!R215="","n/d",IF('Dados completos'!R215='Dados completos'!S215,TEXT('Dados completos'!R215,"#,##0"),TEXT('Dados completos'!R215,"#,##0")&amp;", "&amp;TEXT('Dados completos'!S215,"#,##0")))</f>
        <v>1,400, 1,800</v>
      </c>
      <c r="Q225" s="30" t="str">
        <f aca="false">'Dados completos'!M215</f>
        <v>Inglês (ver oferta)</v>
      </c>
      <c r="R225" s="30" t="str">
        <f aca="false">'Dados completos'!AJ215</f>
        <v>Língua-chave EN (exigência 1); não exige experiência prévia em finanças.</v>
      </c>
      <c r="S225" s="30" t="str">
        <f aca="false">'Dados completos'!AK215</f>
        <v>Monitorizar (edição 2027 ainda por abrir)</v>
      </c>
      <c r="T225" s="24" t="str">
        <f aca="false">'Dados completos'!AP215</f>
        <v>Parcial (agregador/título)</v>
      </c>
      <c r="U225" s="30" t="str">
        <f aca="false">'Dados completos'!AO215</f>
        <v>Direto (site/ATS da empresa)</v>
      </c>
      <c r="V225" s="32" t="str">
        <f aca="false">HYPERLINK('Dados completos'!AN215,"Abrir")</f>
        <v>Abrir</v>
      </c>
    </row>
    <row r="226" customFormat="false" ht="45.75" hidden="false" customHeight="true" outlineLevel="0" collapsed="false">
      <c r="A226" s="24" t="n">
        <f aca="false">'Dados completos'!A137</f>
        <v>134</v>
      </c>
      <c r="B226" s="25" t="str">
        <f aca="false">'Dados completos'!AL137</f>
        <v>Prazo passado</v>
      </c>
      <c r="C226" s="24" t="n">
        <f aca="false">'Dados completos'!Y137</f>
        <v>2.9</v>
      </c>
      <c r="D226" s="26" t="n">
        <f aca="false">'Dados completos'!AF137</f>
        <v>41</v>
      </c>
      <c r="E226" s="27" t="n">
        <f aca="false">'Dados completos'!AH137</f>
        <v>0.02676</v>
      </c>
      <c r="F226" s="28" t="str">
        <f aca="false">'Dados completos'!AI137</f>
        <v>—</v>
      </c>
      <c r="G226" s="29" t="str">
        <f aca="false">'Dados completos'!B137</f>
        <v>BBVA CIB</v>
      </c>
      <c r="H226" s="30" t="str">
        <f aca="false">'Dados completos'!C137</f>
        <v>Beca Off-cycle M&amp;A CIB (Madrid)</v>
      </c>
      <c r="I226" s="30" t="str">
        <f aca="false">'Dados completos'!E137</f>
        <v>Banca de investimento</v>
      </c>
      <c r="J226" s="24" t="str">
        <f aca="false">'Dados completos'!F137</f>
        <v>Espanha</v>
      </c>
      <c r="K226" s="30" t="str">
        <f aca="false">'Dados completos'!G137</f>
        <v>Madrid</v>
      </c>
      <c r="L226" s="30" t="str">
        <f aca="false">'Dados completos'!H137</f>
        <v>Não indicado (provável presencial)</v>
      </c>
      <c r="M226" s="30" t="str">
        <f aca="false">'Dados completos'!I137</f>
        <v>Por confirmar</v>
      </c>
      <c r="N226" s="31" t="n">
        <f aca="false">'Dados completos'!O137</f>
        <v>46298</v>
      </c>
      <c r="O226" s="28" t="str">
        <f aca="false">'Dados completos'!V137</f>
        <v>Alta</v>
      </c>
      <c r="P226" s="30" t="str">
        <f aca="false">IF('Dados completos'!R137="","n/d",IF('Dados completos'!R137='Dados completos'!S137,TEXT('Dados completos'!R137,"#,##0"),TEXT('Dados completos'!R137,"#,##0")&amp;", "&amp;TEXT('Dados completos'!S137,"#,##0")))</f>
        <v>1,000, 1,800</v>
      </c>
      <c r="Q226" s="30" t="str">
        <f aca="false">'Dados completos'!M137</f>
        <v>Espanhol e inglês (ver oferta)</v>
      </c>
      <c r="R226" s="30" t="str">
        <f aca="false">'Dados completos'!AJ137</f>
        <v>Língua-chave ES (exigência 1); experiência prévia em finanças valorizada, CV tem pouca; exige mestrado em curso ou convenção de estágio, risco.</v>
      </c>
      <c r="S226" s="30" t="str">
        <f aca="false">'Dados completos'!AK137</f>
        <v>Prazo expirado</v>
      </c>
      <c r="T226" s="24" t="str">
        <f aca="false">'Dados completos'!AP137</f>
        <v>Parcial (agregador/título)</v>
      </c>
      <c r="U226" s="30" t="str">
        <f aca="false">'Dados completos'!AO137</f>
        <v>Direto (site/ATS da empresa)</v>
      </c>
      <c r="V226" s="32" t="str">
        <f aca="false">HYPERLINK('Dados completos'!AN137,"Abrir")</f>
        <v>Abrir</v>
      </c>
    </row>
    <row r="227" customFormat="false" ht="45.75" hidden="false" customHeight="true" outlineLevel="0" collapsed="false">
      <c r="A227" s="24" t="n">
        <f aca="false">'Dados completos'!A216</f>
        <v>213</v>
      </c>
      <c r="B227" s="25" t="str">
        <f aca="false">'Dados completos'!AL216</f>
        <v>Monitorizar</v>
      </c>
      <c r="C227" s="24" t="n">
        <f aca="false">'Dados completos'!Y216</f>
        <v>2.7</v>
      </c>
      <c r="D227" s="26" t="n">
        <f aca="false">'Dados completos'!AF216</f>
        <v>83.5</v>
      </c>
      <c r="E227" s="27" t="n">
        <f aca="false">'Dados completos'!AH216</f>
        <v>0.04206</v>
      </c>
      <c r="F227" s="28" t="str">
        <f aca="false">'Dados completos'!AI216</f>
        <v>—</v>
      </c>
      <c r="G227" s="29" t="str">
        <f aca="false">'Dados completos'!B216</f>
        <v>Galp</v>
      </c>
      <c r="H227" s="30" t="str">
        <f aca="false">'Dados completos'!C216</f>
        <v>Generation Galp (trainees, 12 meses)</v>
      </c>
      <c r="I227" s="30" t="str">
        <f aca="false">'Dados completos'!E216</f>
        <v>Big corporate</v>
      </c>
      <c r="J227" s="24" t="str">
        <f aca="false">'Dados completos'!F216</f>
        <v>Portugal</v>
      </c>
      <c r="K227" s="30" t="str">
        <f aca="false">'Dados completos'!G216</f>
        <v>Lisboa</v>
      </c>
      <c r="L227" s="30" t="str">
        <f aca="false">'Dados completos'!H216</f>
        <v>Não indicado (provável presencial)</v>
      </c>
      <c r="M227" s="30" t="str">
        <f aca="false">'Dados completos'!I216</f>
        <v>Não indicado</v>
      </c>
      <c r="N227" s="31" t="str">
        <f aca="false">'Dados completos'!O216</f>
        <v>Não indicado</v>
      </c>
      <c r="O227" s="28" t="str">
        <f aca="false">'Dados completos'!V216</f>
        <v>Alta</v>
      </c>
      <c r="P227" s="30" t="str">
        <f aca="false">IF('Dados completos'!R216="","n/d",IF('Dados completos'!R216='Dados completos'!S216,TEXT('Dados completos'!R216,"#,##0"),TEXT('Dados completos'!R216,"#,##0")&amp;", "&amp;TEXT('Dados completos'!S216,"#,##0")))</f>
        <v>1,400, 1,800</v>
      </c>
      <c r="Q227" s="30" t="str">
        <f aca="false">'Dados completos'!M216</f>
        <v>Inglês (ver oferta)</v>
      </c>
      <c r="R227" s="30" t="str">
        <f aca="false">'Dados completos'!AJ216</f>
        <v>Língua-chave EN (exigência 1); não exige experiência prévia em finanças.</v>
      </c>
      <c r="S227" s="30" t="str">
        <f aca="false">'Dados completos'!AK216</f>
        <v>Monitorizar (edição 2027 ainda por abrir)</v>
      </c>
      <c r="T227" s="24" t="str">
        <f aca="false">'Dados completos'!AP216</f>
        <v>Parcial (agregador/título)</v>
      </c>
      <c r="U227" s="30" t="str">
        <f aca="false">'Dados completos'!AO216</f>
        <v>Página de carreiras (procurar a vaga)</v>
      </c>
      <c r="V227" s="32" t="str">
        <f aca="false">HYPERLINK('Dados completos'!AN216,"Abrir")</f>
        <v>Abrir</v>
      </c>
    </row>
    <row r="228" customFormat="false" ht="45.75" hidden="false" customHeight="true" outlineLevel="0" collapsed="false">
      <c r="A228" s="24" t="n">
        <f aca="false">'Dados completos'!A13</f>
        <v>10</v>
      </c>
      <c r="B228" s="25" t="str">
        <f aca="false">'Dados completos'!AL13</f>
        <v>Prazo passado</v>
      </c>
      <c r="C228" s="24" t="n">
        <f aca="false">'Dados completos'!Y13</f>
        <v>2.2</v>
      </c>
      <c r="D228" s="26" t="n">
        <f aca="false">'Dados completos'!AF13</f>
        <v>45.6</v>
      </c>
      <c r="E228" s="27" t="n">
        <f aca="false">'Dados completos'!AH13</f>
        <v>0.0009472</v>
      </c>
      <c r="F228" s="28" t="str">
        <f aca="false">'Dados completos'!AI13</f>
        <v>—</v>
      </c>
      <c r="G228" s="29" t="str">
        <f aca="false">'Dados completos'!B13</f>
        <v>BlackRock</v>
      </c>
      <c r="H228" s="30" t="str">
        <f aca="false">'Dados completos'!C13</f>
        <v>2027 Off-cycle Internship Program, EMEA (Paris, Jan-Jun 2027)</v>
      </c>
      <c r="I228" s="30" t="str">
        <f aca="false">'Dados completos'!E13</f>
        <v>Gestão de ativos</v>
      </c>
      <c r="J228" s="24" t="str">
        <f aca="false">'Dados completos'!F13</f>
        <v>França</v>
      </c>
      <c r="K228" s="30" t="str">
        <f aca="false">'Dados completos'!G13</f>
        <v>Paris</v>
      </c>
      <c r="L228" s="30" t="str">
        <f aca="false">'Dados completos'!H13</f>
        <v>Não indicado (provável presencial)</v>
      </c>
      <c r="M228" s="30" t="str">
        <f aca="false">'Dados completos'!I13</f>
        <v>Jan-Jun 2027</v>
      </c>
      <c r="N228" s="31" t="n">
        <f aca="false">'Dados completos'!O13</f>
        <v>46295</v>
      </c>
      <c r="O228" s="28" t="str">
        <f aca="false">'Dados completos'!V13</f>
        <v>Muito alta</v>
      </c>
      <c r="P228" s="30" t="str">
        <f aca="false">IF('Dados completos'!R13="","n/d",IF('Dados completos'!R13='Dados completos'!S13,TEXT('Dados completos'!R13,"#,##0"),TEXT('Dados completos'!R13,"#,##0")&amp;", "&amp;TEXT('Dados completos'!S13,"#,##0")))</f>
        <v>1,800, 2,800</v>
      </c>
      <c r="Q228" s="30" t="str">
        <f aca="false">'Dados completos'!M13</f>
        <v>Inglês (francês provável)</v>
      </c>
      <c r="R228" s="30" t="str">
        <f aca="false">'Dados completos'!AJ13</f>
        <v>Língua-chave FR (exigência 0.4); experiência prévia em finanças valorizada, CV tem pouca; provavelmente inelegível (penúltimo ano / prazo).</v>
      </c>
      <c r="S228" s="30" t="str">
        <f aca="false">'Dados completos'!AK13</f>
        <v>Prazo expirado</v>
      </c>
      <c r="T228" s="24" t="str">
        <f aca="false">'Dados completos'!AP13</f>
        <v>Verificada na página</v>
      </c>
      <c r="U228" s="30" t="str">
        <f aca="false">'Dados completos'!AO13</f>
        <v>Página de carreiras (procurar a vaga)</v>
      </c>
      <c r="V228" s="32" t="str">
        <f aca="false">HYPERLINK('Dados completos'!AN13,"Abrir")</f>
        <v>Abrir</v>
      </c>
    </row>
  </sheetData>
  <autoFilter ref="A4:V228"/>
  <conditionalFormatting sqref="B5:B228">
    <cfRule type="cellIs" priority="2" operator="equal" aboveAverage="0" equalAverage="0" bottom="0" percent="0" rank="0" text="" dxfId="0">
      <formula>"Prioridade"</formula>
    </cfRule>
    <cfRule type="cellIs" priority="3" operator="equal" aboveAverage="0" equalAverage="0" bottom="0" percent="0" rank="0" text="" dxfId="21">
      <formula>"Candidatar (reach)"</formula>
    </cfRule>
    <cfRule type="cellIs" priority="4" operator="equal" aboveAverage="0" equalAverage="0" bottom="0" percent="0" rank="0" text="" dxfId="22">
      <formula>"Prazo passado"</formula>
    </cfRule>
  </conditionalFormatting>
  <conditionalFormatting sqref="F5:F228">
    <cfRule type="cellIs" priority="5" operator="equal" aboveAverage="0" equalAverage="0" bottom="0" percent="0" rank="0" text="" dxfId="0">
      <formula>"Boa"</formula>
    </cfRule>
    <cfRule type="cellIs" priority="6" operator="equal" aboveAverage="0" equalAverage="0" bottom="0" percent="0" rank="0" text="" dxfId="1">
      <formula>"Média"</formula>
    </cfRule>
    <cfRule type="cellIs" priority="7" operator="equal" aboveAverage="0" equalAverage="0" bottom="0" percent="0" rank="0" text="" dxfId="2">
      <formula>"Baixa"</formula>
    </cfRule>
  </conditionalFormatting>
  <conditionalFormatting sqref="O5:O228">
    <cfRule type="cellIs" priority="8" operator="equal" aboveAverage="0" equalAverage="0" bottom="0" percent="0" rank="0" text="" dxfId="2">
      <formula>"Muito alta"</formula>
    </cfRule>
    <cfRule type="cellIs" priority="9" operator="equal" aboveAverage="0" equalAverage="0" bottom="0" percent="0" rank="0" text="" dxfId="3">
      <formula>"Alta"</formula>
    </cfRule>
    <cfRule type="cellIs" priority="10" operator="equal" aboveAverage="0" equalAverage="0" bottom="0" percent="0" rank="0" text="" dxfId="4">
      <formula>"Média-alta"</formula>
    </cfRule>
    <cfRule type="cellIs" priority="11" operator="equal" aboveAverage="0" equalAverage="0" bottom="0" percent="0" rank="0" text="" dxfId="5">
      <formula>"Média"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W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12"/>
    <col collapsed="false" customWidth="true" hidden="false" outlineLevel="0" max="11" min="11" style="1" width="50"/>
    <col collapsed="false" customWidth="true" hidden="false" outlineLevel="0" max="12" min="12" style="1" width="48"/>
    <col collapsed="false" customWidth="true" hidden="false" outlineLevel="0" max="13" min="13" style="1" width="20"/>
    <col collapsed="false" customWidth="true" hidden="false" outlineLevel="0" max="14" min="14" style="1" width="24"/>
    <col collapsed="false" customWidth="true" hidden="false" outlineLevel="0" max="15" min="15" style="1" width="16"/>
    <col collapsed="false" customWidth="true" hidden="false" outlineLevel="0" max="16" min="16" style="1" width="10"/>
    <col collapsed="false" customWidth="true" hidden="false" outlineLevel="0" max="17" min="17" style="1" width="20"/>
    <col collapsed="false" customWidth="true" hidden="false" outlineLevel="0" max="20" min="18" style="1" width="11"/>
    <col collapsed="false" customWidth="true" hidden="false" outlineLevel="0" max="21" min="21" style="1" width="24"/>
    <col collapsed="false" customWidth="true" hidden="false" outlineLevel="0" max="22" min="22" style="1" width="13"/>
    <col collapsed="false" customWidth="true" hidden="false" outlineLevel="0" max="24" min="23" style="1" width="10"/>
    <col collapsed="false" customWidth="true" hidden="false" outlineLevel="0" max="25" min="25" style="1" width="12"/>
    <col collapsed="false" customWidth="true" hidden="false" outlineLevel="0" max="26" min="26" style="1" width="9"/>
    <col collapsed="false" customWidth="true" hidden="false" outlineLevel="0" max="27" min="27" style="1" width="10"/>
    <col collapsed="false" customWidth="true" hidden="false" outlineLevel="0" max="28" min="28" style="1" width="9"/>
    <col collapsed="false" customWidth="true" hidden="false" outlineLevel="0" max="30" min="29" style="1" width="11"/>
    <col collapsed="false" customWidth="true" hidden="false" outlineLevel="0" max="31" min="31" style="1" width="10"/>
    <col collapsed="false" customWidth="true" hidden="false" outlineLevel="0" max="32" min="32" style="1" width="11"/>
    <col collapsed="false" customWidth="true" hidden="false" outlineLevel="0" max="33" min="33" style="1" width="10"/>
    <col collapsed="false" customWidth="true" hidden="false" outlineLevel="0" max="34" min="34" style="1" width="12"/>
    <col collapsed="false" customWidth="true" hidden="false" outlineLevel="0" max="35" min="35" style="1" width="9"/>
    <col collapsed="false" customWidth="true" hidden="false" outlineLevel="0" max="36" min="36" style="1" width="52"/>
    <col collapsed="false" customWidth="true" hidden="false" outlineLevel="0" max="37" min="37" style="1" width="20"/>
    <col collapsed="false" customWidth="true" hidden="false" outlineLevel="0" max="38" min="38" style="1" width="16"/>
    <col collapsed="false" customWidth="true" hidden="false" outlineLevel="0" max="39" min="39" style="1" width="44"/>
    <col collapsed="false" customWidth="true" hidden="false" outlineLevel="0" max="40" min="40" style="1" width="40"/>
    <col collapsed="false" customWidth="true" hidden="false" outlineLevel="0" max="41" min="41" style="1" width="18"/>
    <col collapsed="false" customWidth="true" hidden="false" outlineLevel="0" max="42" min="42" style="1" width="20"/>
    <col collapsed="false" customWidth="true" hidden="false" outlineLevel="0" max="44" min="44" style="1" width="9"/>
    <col collapsed="false" customWidth="true" hidden="false" outlineLevel="0" max="46" min="45" style="1" width="11"/>
    <col collapsed="false" customWidth="true" hidden="false" outlineLevel="0" max="47" min="47" style="1" width="7"/>
    <col collapsed="false" customWidth="true" hidden="false" outlineLevel="0" max="48" min="48" style="1" width="10"/>
    <col collapsed="false" customWidth="true" hidden="false" outlineLevel="0" max="49" min="49" style="1" width="9"/>
  </cols>
  <sheetData>
    <row r="1" customFormat="false" ht="17.25" hidden="false" customHeight="true" outlineLevel="0" collapsed="false">
      <c r="A1" s="21" t="s">
        <v>139</v>
      </c>
    </row>
    <row r="2" customFormat="false" ht="14.25" hidden="false" customHeight="true" outlineLevel="0" collapsed="false">
      <c r="A2" s="22" t="s">
        <v>140</v>
      </c>
    </row>
    <row r="3" customFormat="false" ht="51.75" hidden="false" customHeight="true" outlineLevel="0" collapsed="false">
      <c r="A3" s="23" t="s">
        <v>141</v>
      </c>
      <c r="B3" s="23" t="s">
        <v>128</v>
      </c>
      <c r="C3" s="23" t="s">
        <v>129</v>
      </c>
      <c r="D3" s="23" t="s">
        <v>142</v>
      </c>
      <c r="E3" s="23" t="s">
        <v>21</v>
      </c>
      <c r="F3" s="23" t="s">
        <v>76</v>
      </c>
      <c r="G3" s="23" t="s">
        <v>103</v>
      </c>
      <c r="H3" s="23" t="s">
        <v>104</v>
      </c>
      <c r="I3" s="23" t="s">
        <v>131</v>
      </c>
      <c r="J3" s="23" t="s">
        <v>143</v>
      </c>
      <c r="K3" s="23" t="s">
        <v>144</v>
      </c>
      <c r="L3" s="23" t="s">
        <v>145</v>
      </c>
      <c r="M3" s="23" t="s">
        <v>134</v>
      </c>
      <c r="N3" s="23" t="s">
        <v>146</v>
      </c>
      <c r="O3" s="23" t="s">
        <v>132</v>
      </c>
      <c r="P3" s="23" t="s">
        <v>147</v>
      </c>
      <c r="Q3" s="23" t="s">
        <v>148</v>
      </c>
      <c r="R3" s="23" t="s">
        <v>149</v>
      </c>
      <c r="S3" s="23" t="s">
        <v>150</v>
      </c>
      <c r="T3" s="23" t="s">
        <v>151</v>
      </c>
      <c r="U3" s="23" t="s">
        <v>152</v>
      </c>
      <c r="V3" s="23" t="s">
        <v>37</v>
      </c>
      <c r="W3" s="23" t="s">
        <v>27</v>
      </c>
      <c r="X3" s="23" t="s">
        <v>29</v>
      </c>
      <c r="Y3" s="23" t="s">
        <v>25</v>
      </c>
      <c r="Z3" s="33" t="s">
        <v>43</v>
      </c>
      <c r="AA3" s="33" t="s">
        <v>153</v>
      </c>
      <c r="AB3" s="33" t="s">
        <v>154</v>
      </c>
      <c r="AC3" s="33" t="s">
        <v>155</v>
      </c>
      <c r="AD3" s="33" t="s">
        <v>156</v>
      </c>
      <c r="AE3" s="33" t="s">
        <v>157</v>
      </c>
      <c r="AF3" s="33" t="s">
        <v>31</v>
      </c>
      <c r="AG3" s="33" t="s">
        <v>158</v>
      </c>
      <c r="AH3" s="33" t="s">
        <v>33</v>
      </c>
      <c r="AI3" s="33" t="s">
        <v>35</v>
      </c>
      <c r="AJ3" s="33" t="s">
        <v>135</v>
      </c>
      <c r="AK3" s="23" t="s">
        <v>45</v>
      </c>
      <c r="AL3" s="23" t="s">
        <v>23</v>
      </c>
      <c r="AM3" s="23" t="s">
        <v>159</v>
      </c>
      <c r="AN3" s="23" t="s">
        <v>138</v>
      </c>
      <c r="AO3" s="23" t="s">
        <v>41</v>
      </c>
      <c r="AP3" s="23" t="s">
        <v>39</v>
      </c>
      <c r="AQ3" s="34" t="s">
        <v>160</v>
      </c>
      <c r="AR3" s="34" t="s">
        <v>161</v>
      </c>
      <c r="AS3" s="34" t="s">
        <v>162</v>
      </c>
      <c r="AT3" s="34" t="s">
        <v>163</v>
      </c>
      <c r="AU3" s="34" t="s">
        <v>164</v>
      </c>
      <c r="AV3" s="34" t="s">
        <v>165</v>
      </c>
      <c r="AW3" s="34" t="s">
        <v>166</v>
      </c>
    </row>
    <row r="4" customFormat="false" ht="45" hidden="false" customHeight="true" outlineLevel="0" collapsed="false">
      <c r="A4" s="35" t="n">
        <v>1</v>
      </c>
      <c r="B4" s="7" t="s">
        <v>167</v>
      </c>
      <c r="C4" s="7" t="s">
        <v>168</v>
      </c>
      <c r="D4" s="7" t="s">
        <v>169</v>
      </c>
      <c r="E4" s="7" t="s">
        <v>170</v>
      </c>
      <c r="F4" s="35" t="s">
        <v>81</v>
      </c>
      <c r="G4" s="7" t="s">
        <v>171</v>
      </c>
      <c r="H4" s="7" t="s">
        <v>172</v>
      </c>
      <c r="I4" s="7" t="s">
        <v>173</v>
      </c>
      <c r="J4" s="35" t="s">
        <v>174</v>
      </c>
      <c r="K4" s="7" t="s">
        <v>175</v>
      </c>
      <c r="L4" s="7" t="s">
        <v>176</v>
      </c>
      <c r="M4" s="7" t="s">
        <v>177</v>
      </c>
      <c r="N4" s="7" t="s">
        <v>178</v>
      </c>
      <c r="O4" s="7" t="s">
        <v>179</v>
      </c>
      <c r="P4" s="35" t="str">
        <f aca="true">IF(ISNUMBER(O4),O4-TODAY(),"")</f>
        <v/>
      </c>
      <c r="Q4" s="7" t="s">
        <v>179</v>
      </c>
      <c r="R4" s="36" t="n">
        <v>2800</v>
      </c>
      <c r="S4" s="36" t="n">
        <v>4000</v>
      </c>
      <c r="T4" s="37" t="n">
        <f aca="false">IF(R4="","",AVERAGE(R4,S4))</f>
        <v>3400</v>
      </c>
      <c r="U4" s="7" t="s">
        <v>180</v>
      </c>
      <c r="V4" s="38" t="s">
        <v>181</v>
      </c>
      <c r="W4" s="38" t="n">
        <v>5</v>
      </c>
      <c r="X4" s="38" t="n">
        <v>1</v>
      </c>
      <c r="Y4" s="35" t="n">
        <f aca="false">ROUND(0.6*W4+0.4*X4,1)</f>
        <v>3.4</v>
      </c>
      <c r="Z4" s="38" t="s">
        <v>182</v>
      </c>
      <c r="AA4" s="38" t="n">
        <v>1</v>
      </c>
      <c r="AB4" s="39" t="n">
        <f aca="false">1-AA4*(1-INDEX('Perfil e pressupostos'!$C$14:$C$20,MATCH(Z4,'Perfil e pressupostos'!$A$14:$A$20,0)))</f>
        <v>0.95</v>
      </c>
      <c r="AC4" s="38" t="n">
        <v>0.1</v>
      </c>
      <c r="AD4" s="38" t="n">
        <v>0.8</v>
      </c>
      <c r="AE4" s="38" t="n">
        <v>0.7</v>
      </c>
      <c r="AF4" s="40" t="n">
        <f aca="false">100*('Perfil e pressupostos'!$F$14*AB4+'Perfil e pressupostos'!$F$15*AC4+'Perfil e pressupostos'!$F$16*AD4+'Perfil e pressupostos'!$F$17*AE4)/'Perfil e pressupostos'!$F$18</f>
        <v>62</v>
      </c>
      <c r="AG4" s="41" t="n">
        <f aca="false">INDEX('Perfil e pressupostos'!$B$25:$B$28,MATCH(V4,'Perfil e pressupostos'!$A$25:$A$28,0))</f>
        <v>0.01</v>
      </c>
      <c r="AH4" s="41" t="n">
        <f aca="false">MIN('Perfil e pressupostos'!$F$29,AG4*('Perfil e pressupostos'!$F$25+'Perfil e pressupostos'!$F$26*AF4/100)*IF(AD4&lt;='Perfil e pressupostos'!$F$28,'Perfil e pressupostos'!$F$27,1))</f>
        <v>0.01144</v>
      </c>
      <c r="AI4" s="35" t="str">
        <f aca="false">IF(AQ4=0,"—",IF(AH4&gt;='Perfil e pressupostos'!$F$30,"Boa",IF(AH4&gt;='Perfil e pressupostos'!$F$31,"Média","Baixa")))</f>
        <v>Baixa</v>
      </c>
      <c r="AJ4" s="7" t="s">
        <v>183</v>
      </c>
      <c r="AK4" s="7" t="s">
        <v>184</v>
      </c>
      <c r="AL4" s="35" t="str">
        <f aca="false">IF(AK4="Prazo expirado","Prazo passado",IF(LEFT(AK4,11)="Monitorizar","Monitorizar",IF(Y4&gt;=3.5,"Prioridade",IF(Y4&gt;=3,"Candidatar (reach)","Reserva"))))</f>
        <v>Candidatar (reach)</v>
      </c>
      <c r="AM4" s="7" t="s">
        <v>185</v>
      </c>
      <c r="AN4" s="42" t="s">
        <v>186</v>
      </c>
      <c r="AO4" s="7" t="s">
        <v>187</v>
      </c>
      <c r="AP4" s="7" t="s">
        <v>188</v>
      </c>
      <c r="AQ4" s="7" t="n">
        <f aca="false">IF(OR(AK4="Prazo expirado",LEFT(AK4,11)="Monitorizar"),0,1)</f>
        <v>1</v>
      </c>
      <c r="AR4" s="41" t="n">
        <f aca="false">IF(AQ4=0,0,AH4)</f>
        <v>0.01144</v>
      </c>
      <c r="AS4" s="41" t="n">
        <f aca="false">AR4*W4/5</f>
        <v>0.01144</v>
      </c>
      <c r="AT4" s="43" t="n">
        <f aca="false">AS4+W4/1000000+(1000-ROW())/1000000000</f>
        <v>0.011445996</v>
      </c>
      <c r="AU4" s="35" t="n">
        <f aca="false">RANK(AT4,$AT$4:$AT$227)</f>
        <v>101</v>
      </c>
      <c r="AV4" s="40" t="n">
        <f aca="false">IF(AQ4=0,"",AF4)</f>
        <v>62</v>
      </c>
      <c r="AW4" s="41" t="n">
        <f aca="false">IF(AQ4=0,"",AH4)</f>
        <v>0.01144</v>
      </c>
    </row>
    <row r="5" customFormat="false" ht="45" hidden="false" customHeight="true" outlineLevel="0" collapsed="false">
      <c r="A5" s="35" t="n">
        <v>2</v>
      </c>
      <c r="B5" s="7" t="s">
        <v>189</v>
      </c>
      <c r="C5" s="7" t="s">
        <v>190</v>
      </c>
      <c r="D5" s="7" t="s">
        <v>191</v>
      </c>
      <c r="E5" s="7" t="s">
        <v>170</v>
      </c>
      <c r="F5" s="35" t="s">
        <v>83</v>
      </c>
      <c r="G5" s="7" t="s">
        <v>192</v>
      </c>
      <c r="H5" s="7" t="s">
        <v>172</v>
      </c>
      <c r="I5" s="7" t="s">
        <v>193</v>
      </c>
      <c r="J5" s="35" t="s">
        <v>174</v>
      </c>
      <c r="K5" s="7" t="s">
        <v>194</v>
      </c>
      <c r="L5" s="7" t="s">
        <v>195</v>
      </c>
      <c r="M5" s="7" t="s">
        <v>196</v>
      </c>
      <c r="N5" s="7" t="s">
        <v>197</v>
      </c>
      <c r="O5" s="7" t="s">
        <v>179</v>
      </c>
      <c r="P5" s="35" t="str">
        <f aca="true">IF(ISNUMBER(O5),O5-TODAY(),"")</f>
        <v/>
      </c>
      <c r="Q5" s="7" t="s">
        <v>179</v>
      </c>
      <c r="R5" s="36" t="n">
        <v>1000</v>
      </c>
      <c r="S5" s="36" t="n">
        <v>1800</v>
      </c>
      <c r="T5" s="37" t="n">
        <f aca="false">IF(R5="","",AVERAGE(R5,S5))</f>
        <v>1400</v>
      </c>
      <c r="U5" s="7" t="s">
        <v>198</v>
      </c>
      <c r="V5" s="38" t="s">
        <v>199</v>
      </c>
      <c r="W5" s="38" t="n">
        <v>4</v>
      </c>
      <c r="X5" s="38" t="n">
        <v>2</v>
      </c>
      <c r="Y5" s="35" t="n">
        <f aca="false">ROUND(0.6*W5+0.4*X5,1)</f>
        <v>3.2</v>
      </c>
      <c r="Z5" s="38" t="s">
        <v>200</v>
      </c>
      <c r="AA5" s="38" t="n">
        <v>1</v>
      </c>
      <c r="AB5" s="39" t="n">
        <f aca="false">1-AA5*(1-INDEX('Perfil e pressupostos'!$C$14:$C$20,MATCH(Z5,'Perfil e pressupostos'!$A$14:$A$20,0)))</f>
        <v>0.3</v>
      </c>
      <c r="AC5" s="38" t="n">
        <v>0.5</v>
      </c>
      <c r="AD5" s="38" t="n">
        <v>0.8</v>
      </c>
      <c r="AE5" s="38" t="n">
        <v>0.7</v>
      </c>
      <c r="AF5" s="40" t="n">
        <f aca="false">100*('Perfil e pressupostos'!$F$14*AB5+'Perfil e pressupostos'!$F$15*AC5+'Perfil e pressupostos'!$F$16*AD5+'Perfil e pressupostos'!$F$17*AE5)/'Perfil e pressupostos'!$F$18</f>
        <v>54.5</v>
      </c>
      <c r="AG5" s="41" t="n">
        <f aca="false">INDEX('Perfil e pressupostos'!$B$25:$B$28,MATCH(V5,'Perfil e pressupostos'!$A$25:$A$28,0))</f>
        <v>0.03</v>
      </c>
      <c r="AH5" s="41" t="n">
        <f aca="false">MIN('Perfil e pressupostos'!$F$29,AG5*('Perfil e pressupostos'!$F$25+'Perfil e pressupostos'!$F$26*AF5/100)*IF(AD5&lt;='Perfil e pressupostos'!$F$28,'Perfil e pressupostos'!$F$27,1))</f>
        <v>0.03162</v>
      </c>
      <c r="AI5" s="35" t="str">
        <f aca="false">IF(AQ5=0,"—",IF(AH5&gt;='Perfil e pressupostos'!$F$30,"Boa",IF(AH5&gt;='Perfil e pressupostos'!$F$31,"Média","Baixa")))</f>
        <v>Média</v>
      </c>
      <c r="AJ5" s="7" t="s">
        <v>201</v>
      </c>
      <c r="AK5" s="7" t="s">
        <v>184</v>
      </c>
      <c r="AL5" s="35" t="str">
        <f aca="false">IF(AK5="Prazo expirado","Prazo passado",IF(LEFT(AK5,11)="Monitorizar","Monitorizar",IF(Y5&gt;=3.5,"Prioridade",IF(Y5&gt;=3,"Candidatar (reach)","Reserva"))))</f>
        <v>Candidatar (reach)</v>
      </c>
      <c r="AM5" s="7" t="s">
        <v>202</v>
      </c>
      <c r="AN5" s="42" t="s">
        <v>203</v>
      </c>
      <c r="AO5" s="7" t="s">
        <v>187</v>
      </c>
      <c r="AP5" s="7" t="s">
        <v>188</v>
      </c>
      <c r="AQ5" s="7" t="n">
        <f aca="false">IF(OR(AK5="Prazo expirado",LEFT(AK5,11)="Monitorizar"),0,1)</f>
        <v>1</v>
      </c>
      <c r="AR5" s="41" t="n">
        <f aca="false">IF(AQ5=0,0,AH5)</f>
        <v>0.03162</v>
      </c>
      <c r="AS5" s="41" t="n">
        <f aca="false">AR5*W5/5</f>
        <v>0.025296</v>
      </c>
      <c r="AT5" s="43" t="n">
        <f aca="false">AS5+W5/1000000+(1000-ROW())/1000000000</f>
        <v>0.025300995</v>
      </c>
      <c r="AU5" s="35" t="n">
        <f aca="false">RANK(AT5,$AT$4:$AT$227)</f>
        <v>58</v>
      </c>
      <c r="AV5" s="40" t="n">
        <f aca="false">IF(AQ5=0,"",AF5)</f>
        <v>54.5</v>
      </c>
      <c r="AW5" s="41" t="n">
        <f aca="false">IF(AQ5=0,"",AH5)</f>
        <v>0.03162</v>
      </c>
    </row>
    <row r="6" customFormat="false" ht="45" hidden="false" customHeight="true" outlineLevel="0" collapsed="false">
      <c r="A6" s="35" t="n">
        <v>3</v>
      </c>
      <c r="B6" s="7" t="s">
        <v>189</v>
      </c>
      <c r="C6" s="7" t="s">
        <v>204</v>
      </c>
      <c r="D6" s="7" t="s">
        <v>191</v>
      </c>
      <c r="E6" s="7" t="s">
        <v>170</v>
      </c>
      <c r="F6" s="35" t="s">
        <v>85</v>
      </c>
      <c r="G6" s="7" t="s">
        <v>205</v>
      </c>
      <c r="H6" s="7" t="s">
        <v>172</v>
      </c>
      <c r="I6" s="7" t="s">
        <v>206</v>
      </c>
      <c r="J6" s="35" t="s">
        <v>207</v>
      </c>
      <c r="K6" s="7" t="s">
        <v>208</v>
      </c>
      <c r="L6" s="7" t="s">
        <v>209</v>
      </c>
      <c r="M6" s="7" t="s">
        <v>210</v>
      </c>
      <c r="N6" s="7" t="s">
        <v>211</v>
      </c>
      <c r="O6" s="7" t="s">
        <v>179</v>
      </c>
      <c r="P6" s="35" t="str">
        <f aca="true">IF(ISNUMBER(O6),O6-TODAY(),"")</f>
        <v/>
      </c>
      <c r="Q6" s="7" t="s">
        <v>179</v>
      </c>
      <c r="R6" s="36" t="n">
        <v>1500</v>
      </c>
      <c r="S6" s="36" t="n">
        <v>2500</v>
      </c>
      <c r="T6" s="37" t="n">
        <f aca="false">IF(R6="","",AVERAGE(R6,S6))</f>
        <v>2000</v>
      </c>
      <c r="U6" s="7" t="s">
        <v>212</v>
      </c>
      <c r="V6" s="38" t="s">
        <v>181</v>
      </c>
      <c r="W6" s="38" t="n">
        <v>4</v>
      </c>
      <c r="X6" s="38" t="n">
        <v>1</v>
      </c>
      <c r="Y6" s="35" t="n">
        <f aca="false">ROUND(0.6*W6+0.4*X6,1)</f>
        <v>2.8</v>
      </c>
      <c r="Z6" s="38" t="s">
        <v>213</v>
      </c>
      <c r="AA6" s="38" t="n">
        <v>0.6</v>
      </c>
      <c r="AB6" s="39" t="n">
        <f aca="false">1-AA6*(1-INDEX('Perfil e pressupostos'!$C$14:$C$20,MATCH(Z6,'Perfil e pressupostos'!$A$14:$A$20,0)))</f>
        <v>0.43</v>
      </c>
      <c r="AC6" s="38" t="n">
        <v>0.4</v>
      </c>
      <c r="AD6" s="38" t="n">
        <v>0.3</v>
      </c>
      <c r="AE6" s="38" t="n">
        <v>0.7</v>
      </c>
      <c r="AF6" s="40" t="n">
        <f aca="false">100*('Perfil e pressupostos'!$F$14*AB6+'Perfil e pressupostos'!$F$15*AC6+'Perfil e pressupostos'!$F$16*AD6+'Perfil e pressupostos'!$F$17*AE6)/'Perfil e pressupostos'!$F$18</f>
        <v>42.9</v>
      </c>
      <c r="AG6" s="41" t="n">
        <f aca="false">INDEX('Perfil e pressupostos'!$B$25:$B$28,MATCH(V6,'Perfil e pressupostos'!$A$25:$A$28,0))</f>
        <v>0.01</v>
      </c>
      <c r="AH6" s="41" t="n">
        <f aca="false">MIN('Perfil e pressupostos'!$F$29,AG6*('Perfil e pressupostos'!$F$25+'Perfil e pressupostos'!$F$26*AF6/100)*IF(AD6&lt;='Perfil e pressupostos'!$F$28,'Perfil e pressupostos'!$F$27,1))</f>
        <v>0.009148</v>
      </c>
      <c r="AI6" s="35" t="str">
        <f aca="false">IF(AQ6=0,"—",IF(AH6&gt;='Perfil e pressupostos'!$F$30,"Boa",IF(AH6&gt;='Perfil e pressupostos'!$F$31,"Média","Baixa")))</f>
        <v>Baixa</v>
      </c>
      <c r="AJ6" s="7" t="s">
        <v>214</v>
      </c>
      <c r="AK6" s="7" t="s">
        <v>215</v>
      </c>
      <c r="AL6" s="35" t="str">
        <f aca="false">IF(AK6="Prazo expirado","Prazo passado",IF(LEFT(AK6,11)="Monitorizar","Monitorizar",IF(Y6&gt;=3.5,"Prioridade",IF(Y6&gt;=3,"Candidatar (reach)","Reserva"))))</f>
        <v>Reserva</v>
      </c>
      <c r="AM6" s="7" t="s">
        <v>216</v>
      </c>
      <c r="AN6" s="42" t="s">
        <v>217</v>
      </c>
      <c r="AO6" s="7" t="s">
        <v>187</v>
      </c>
      <c r="AP6" s="7" t="s">
        <v>218</v>
      </c>
      <c r="AQ6" s="7" t="n">
        <f aca="false">IF(OR(AK6="Prazo expirado",LEFT(AK6,11)="Monitorizar"),0,1)</f>
        <v>1</v>
      </c>
      <c r="AR6" s="41" t="n">
        <f aca="false">IF(AQ6=0,0,AH6)</f>
        <v>0.009148</v>
      </c>
      <c r="AS6" s="41" t="n">
        <f aca="false">AR6*W6/5</f>
        <v>0.0073184</v>
      </c>
      <c r="AT6" s="43" t="n">
        <f aca="false">AS6+W6/1000000+(1000-ROW())/1000000000</f>
        <v>0.007323394</v>
      </c>
      <c r="AU6" s="35" t="n">
        <f aca="false">RANK(AT6,$AT$4:$AT$227)</f>
        <v>177</v>
      </c>
      <c r="AV6" s="40" t="n">
        <f aca="false">IF(AQ6=0,"",AF6)</f>
        <v>42.9</v>
      </c>
      <c r="AW6" s="41" t="n">
        <f aca="false">IF(AQ6=0,"",AH6)</f>
        <v>0.009148</v>
      </c>
    </row>
    <row r="7" customFormat="false" ht="57" hidden="false" customHeight="true" outlineLevel="0" collapsed="false">
      <c r="A7" s="35" t="n">
        <v>4</v>
      </c>
      <c r="B7" s="7" t="s">
        <v>167</v>
      </c>
      <c r="C7" s="7" t="s">
        <v>219</v>
      </c>
      <c r="D7" s="7" t="s">
        <v>169</v>
      </c>
      <c r="E7" s="7" t="s">
        <v>170</v>
      </c>
      <c r="F7" s="35" t="s">
        <v>85</v>
      </c>
      <c r="G7" s="7" t="s">
        <v>205</v>
      </c>
      <c r="H7" s="7" t="s">
        <v>172</v>
      </c>
      <c r="I7" s="7" t="s">
        <v>220</v>
      </c>
      <c r="J7" s="35" t="s">
        <v>207</v>
      </c>
      <c r="K7" s="7" t="s">
        <v>221</v>
      </c>
      <c r="L7" s="7" t="s">
        <v>222</v>
      </c>
      <c r="M7" s="7" t="s">
        <v>210</v>
      </c>
      <c r="N7" s="7" t="s">
        <v>223</v>
      </c>
      <c r="O7" s="7" t="s">
        <v>179</v>
      </c>
      <c r="P7" s="35" t="str">
        <f aca="true">IF(ISNUMBER(O7),O7-TODAY(),"")</f>
        <v/>
      </c>
      <c r="Q7" s="7" t="s">
        <v>179</v>
      </c>
      <c r="R7" s="36" t="n">
        <v>1500</v>
      </c>
      <c r="S7" s="36" t="n">
        <v>2500</v>
      </c>
      <c r="T7" s="37" t="n">
        <f aca="false">IF(R7="","",AVERAGE(R7,S7))</f>
        <v>2000</v>
      </c>
      <c r="U7" s="7" t="s">
        <v>224</v>
      </c>
      <c r="V7" s="38" t="s">
        <v>181</v>
      </c>
      <c r="W7" s="38" t="n">
        <v>5</v>
      </c>
      <c r="X7" s="38" t="n">
        <v>1</v>
      </c>
      <c r="Y7" s="35" t="n">
        <f aca="false">ROUND(0.6*W7+0.4*X7,1)</f>
        <v>3.4</v>
      </c>
      <c r="Z7" s="38" t="s">
        <v>213</v>
      </c>
      <c r="AA7" s="38" t="n">
        <v>0.6</v>
      </c>
      <c r="AB7" s="39" t="n">
        <f aca="false">1-AA7*(1-INDEX('Perfil e pressupostos'!$C$14:$C$20,MATCH(Z7,'Perfil e pressupostos'!$A$14:$A$20,0)))</f>
        <v>0.43</v>
      </c>
      <c r="AC7" s="38" t="n">
        <v>0.1</v>
      </c>
      <c r="AD7" s="38" t="n">
        <v>0.3</v>
      </c>
      <c r="AE7" s="38" t="n">
        <v>0.7</v>
      </c>
      <c r="AF7" s="40" t="n">
        <f aca="false">100*('Perfil e pressupostos'!$F$14*AB7+'Perfil e pressupostos'!$F$15*AC7+'Perfil e pressupostos'!$F$16*AD7+'Perfil e pressupostos'!$F$17*AE7)/'Perfil e pressupostos'!$F$18</f>
        <v>33.9</v>
      </c>
      <c r="AG7" s="41" t="n">
        <f aca="false">INDEX('Perfil e pressupostos'!$B$25:$B$28,MATCH(V7,'Perfil e pressupostos'!$A$25:$A$28,0))</f>
        <v>0.01</v>
      </c>
      <c r="AH7" s="41" t="n">
        <f aca="false">MIN('Perfil e pressupostos'!$F$29,AG7*('Perfil e pressupostos'!$F$25+'Perfil e pressupostos'!$F$26*AF7/100)*IF(AD7&lt;='Perfil e pressupostos'!$F$28,'Perfil e pressupostos'!$F$27,1))</f>
        <v>0.008068</v>
      </c>
      <c r="AI7" s="35" t="str">
        <f aca="false">IF(AQ7=0,"—",IF(AH7&gt;='Perfil e pressupostos'!$F$30,"Boa",IF(AH7&gt;='Perfil e pressupostos'!$F$31,"Média","Baixa")))</f>
        <v>Baixa</v>
      </c>
      <c r="AJ7" s="7" t="s">
        <v>225</v>
      </c>
      <c r="AK7" s="7" t="s">
        <v>215</v>
      </c>
      <c r="AL7" s="35" t="str">
        <f aca="false">IF(AK7="Prazo expirado","Prazo passado",IF(LEFT(AK7,11)="Monitorizar","Monitorizar",IF(Y7&gt;=3.5,"Prioridade",IF(Y7&gt;=3,"Candidatar (reach)","Reserva"))))</f>
        <v>Candidatar (reach)</v>
      </c>
      <c r="AM7" s="7" t="s">
        <v>226</v>
      </c>
      <c r="AN7" s="42" t="s">
        <v>227</v>
      </c>
      <c r="AO7" s="7" t="s">
        <v>187</v>
      </c>
      <c r="AP7" s="7" t="s">
        <v>218</v>
      </c>
      <c r="AQ7" s="7" t="n">
        <f aca="false">IF(OR(AK7="Prazo expirado",LEFT(AK7,11)="Monitorizar"),0,1)</f>
        <v>1</v>
      </c>
      <c r="AR7" s="41" t="n">
        <f aca="false">IF(AQ7=0,0,AH7)</f>
        <v>0.008068</v>
      </c>
      <c r="AS7" s="41" t="n">
        <f aca="false">AR7*W7/5</f>
        <v>0.008068</v>
      </c>
      <c r="AT7" s="43" t="n">
        <f aca="false">AS7+W7/1000000+(1000-ROW())/1000000000</f>
        <v>0.008073993</v>
      </c>
      <c r="AU7" s="35" t="n">
        <f aca="false">RANK(AT7,$AT$4:$AT$227)</f>
        <v>143</v>
      </c>
      <c r="AV7" s="40" t="n">
        <f aca="false">IF(AQ7=0,"",AF7)</f>
        <v>33.9</v>
      </c>
      <c r="AW7" s="41" t="n">
        <f aca="false">IF(AQ7=0,"",AH7)</f>
        <v>0.008068</v>
      </c>
    </row>
    <row r="8" customFormat="false" ht="45" hidden="false" customHeight="true" outlineLevel="0" collapsed="false">
      <c r="A8" s="35" t="n">
        <v>5</v>
      </c>
      <c r="B8" s="7" t="s">
        <v>228</v>
      </c>
      <c r="C8" s="7" t="s">
        <v>229</v>
      </c>
      <c r="D8" s="7" t="s">
        <v>169</v>
      </c>
      <c r="E8" s="7" t="s">
        <v>230</v>
      </c>
      <c r="F8" s="35" t="s">
        <v>81</v>
      </c>
      <c r="G8" s="7" t="s">
        <v>231</v>
      </c>
      <c r="H8" s="7" t="s">
        <v>172</v>
      </c>
      <c r="I8" s="7" t="s">
        <v>232</v>
      </c>
      <c r="J8" s="35" t="s">
        <v>233</v>
      </c>
      <c r="K8" s="7" t="s">
        <v>234</v>
      </c>
      <c r="L8" s="7" t="s">
        <v>235</v>
      </c>
      <c r="M8" s="7" t="s">
        <v>177</v>
      </c>
      <c r="N8" s="7" t="s">
        <v>236</v>
      </c>
      <c r="O8" s="7" t="s">
        <v>237</v>
      </c>
      <c r="P8" s="35" t="str">
        <f aca="true">IF(ISNUMBER(O8),O8-TODAY(),"")</f>
        <v/>
      </c>
      <c r="Q8" s="7" t="s">
        <v>179</v>
      </c>
      <c r="R8" s="36" t="n">
        <v>2800</v>
      </c>
      <c r="S8" s="36" t="n">
        <v>4000</v>
      </c>
      <c r="T8" s="37" t="n">
        <f aca="false">IF(R8="","",AVERAGE(R8,S8))</f>
        <v>3400</v>
      </c>
      <c r="U8" s="7" t="s">
        <v>238</v>
      </c>
      <c r="V8" s="38" t="s">
        <v>181</v>
      </c>
      <c r="W8" s="38" t="n">
        <v>5</v>
      </c>
      <c r="X8" s="38" t="n">
        <v>1</v>
      </c>
      <c r="Y8" s="35" t="n">
        <f aca="false">ROUND(0.6*W8+0.4*X8,1)</f>
        <v>3.4</v>
      </c>
      <c r="Z8" s="38" t="s">
        <v>182</v>
      </c>
      <c r="AA8" s="38" t="n">
        <v>1</v>
      </c>
      <c r="AB8" s="39" t="n">
        <f aca="false">1-AA8*(1-INDEX('Perfil e pressupostos'!$C$14:$C$20,MATCH(Z8,'Perfil e pressupostos'!$A$14:$A$20,0)))</f>
        <v>0.95</v>
      </c>
      <c r="AC8" s="38" t="n">
        <v>0.4</v>
      </c>
      <c r="AD8" s="38" t="n">
        <v>1</v>
      </c>
      <c r="AE8" s="38" t="n">
        <v>0.8</v>
      </c>
      <c r="AF8" s="40" t="n">
        <f aca="false">100*('Perfil e pressupostos'!$F$14*AB8+'Perfil e pressupostos'!$F$15*AC8+'Perfil e pressupostos'!$F$16*AD8+'Perfil e pressupostos'!$F$17*AE8)/'Perfil e pressupostos'!$F$18</f>
        <v>77.5</v>
      </c>
      <c r="AG8" s="41" t="n">
        <f aca="false">INDEX('Perfil e pressupostos'!$B$25:$B$28,MATCH(V8,'Perfil e pressupostos'!$A$25:$A$28,0))</f>
        <v>0.01</v>
      </c>
      <c r="AH8" s="41" t="n">
        <f aca="false">MIN('Perfil e pressupostos'!$F$29,AG8*('Perfil e pressupostos'!$F$25+'Perfil e pressupostos'!$F$26*AF8/100)*IF(AD8&lt;='Perfil e pressupostos'!$F$28,'Perfil e pressupostos'!$F$27,1))</f>
        <v>0.0133</v>
      </c>
      <c r="AI8" s="35" t="str">
        <f aca="false">IF(AQ8=0,"—",IF(AH8&gt;='Perfil e pressupostos'!$F$30,"Boa",IF(AH8&gt;='Perfil e pressupostos'!$F$31,"Média","Baixa")))</f>
        <v>Baixa</v>
      </c>
      <c r="AJ8" s="7" t="s">
        <v>239</v>
      </c>
      <c r="AK8" s="7" t="s">
        <v>240</v>
      </c>
      <c r="AL8" s="35" t="str">
        <f aca="false">IF(AK8="Prazo expirado","Prazo passado",IF(LEFT(AK8,11)="Monitorizar","Monitorizar",IF(Y8&gt;=3.5,"Prioridade",IF(Y8&gt;=3,"Candidatar (reach)","Reserva"))))</f>
        <v>Candidatar (reach)</v>
      </c>
      <c r="AM8" s="7" t="s">
        <v>241</v>
      </c>
      <c r="AN8" s="42" t="s">
        <v>242</v>
      </c>
      <c r="AO8" s="7" t="s">
        <v>187</v>
      </c>
      <c r="AP8" s="7" t="s">
        <v>188</v>
      </c>
      <c r="AQ8" s="7" t="n">
        <f aca="false">IF(OR(AK8="Prazo expirado",LEFT(AK8,11)="Monitorizar"),0,1)</f>
        <v>1</v>
      </c>
      <c r="AR8" s="41" t="n">
        <f aca="false">IF(AQ8=0,0,AH8)</f>
        <v>0.0133</v>
      </c>
      <c r="AS8" s="41" t="n">
        <f aca="false">AR8*W8/5</f>
        <v>0.0133</v>
      </c>
      <c r="AT8" s="43" t="n">
        <f aca="false">AS8+W8/1000000+(1000-ROW())/1000000000</f>
        <v>0.013305992</v>
      </c>
      <c r="AU8" s="35" t="n">
        <f aca="false">RANK(AT8,$AT$4:$AT$227)</f>
        <v>97</v>
      </c>
      <c r="AV8" s="40" t="n">
        <f aca="false">IF(AQ8=0,"",AF8)</f>
        <v>77.5</v>
      </c>
      <c r="AW8" s="41" t="n">
        <f aca="false">IF(AQ8=0,"",AH8)</f>
        <v>0.0133</v>
      </c>
    </row>
    <row r="9" customFormat="false" ht="45" hidden="false" customHeight="true" outlineLevel="0" collapsed="false">
      <c r="A9" s="35" t="n">
        <v>6</v>
      </c>
      <c r="B9" s="7" t="s">
        <v>243</v>
      </c>
      <c r="C9" s="7" t="s">
        <v>244</v>
      </c>
      <c r="D9" s="7" t="s">
        <v>245</v>
      </c>
      <c r="E9" s="7" t="s">
        <v>170</v>
      </c>
      <c r="F9" s="35" t="s">
        <v>85</v>
      </c>
      <c r="G9" s="7" t="s">
        <v>205</v>
      </c>
      <c r="H9" s="7" t="s">
        <v>172</v>
      </c>
      <c r="I9" s="7" t="s">
        <v>173</v>
      </c>
      <c r="J9" s="35" t="s">
        <v>174</v>
      </c>
      <c r="K9" s="7" t="s">
        <v>246</v>
      </c>
      <c r="L9" s="7" t="s">
        <v>247</v>
      </c>
      <c r="M9" s="7" t="s">
        <v>248</v>
      </c>
      <c r="N9" s="7" t="s">
        <v>249</v>
      </c>
      <c r="O9" s="7" t="s">
        <v>179</v>
      </c>
      <c r="P9" s="35" t="str">
        <f aca="true">IF(ISNUMBER(O9),O9-TODAY(),"")</f>
        <v/>
      </c>
      <c r="Q9" s="7" t="s">
        <v>179</v>
      </c>
      <c r="R9" s="36" t="n">
        <v>1500</v>
      </c>
      <c r="S9" s="36" t="n">
        <v>2500</v>
      </c>
      <c r="T9" s="37" t="n">
        <f aca="false">IF(R9="","",AVERAGE(R9,S9))</f>
        <v>2000</v>
      </c>
      <c r="U9" s="7" t="s">
        <v>250</v>
      </c>
      <c r="V9" s="38" t="s">
        <v>199</v>
      </c>
      <c r="W9" s="38" t="n">
        <v>4</v>
      </c>
      <c r="X9" s="38" t="n">
        <v>1</v>
      </c>
      <c r="Y9" s="35" t="n">
        <f aca="false">ROUND(0.6*W9+0.4*X9,1)</f>
        <v>2.8</v>
      </c>
      <c r="Z9" s="38" t="s">
        <v>213</v>
      </c>
      <c r="AA9" s="38" t="n">
        <v>1</v>
      </c>
      <c r="AB9" s="39" t="n">
        <f aca="false">1-AA9*(1-INDEX('Perfil e pressupostos'!$C$14:$C$20,MATCH(Z9,'Perfil e pressupostos'!$A$14:$A$20,0)))</f>
        <v>0.05</v>
      </c>
      <c r="AC9" s="38" t="n">
        <v>0.1</v>
      </c>
      <c r="AD9" s="38" t="n">
        <v>0.3</v>
      </c>
      <c r="AE9" s="38" t="n">
        <v>0.7</v>
      </c>
      <c r="AF9" s="40" t="n">
        <f aca="false">100*('Perfil e pressupostos'!$F$14*AB9+'Perfil e pressupostos'!$F$15*AC9+'Perfil e pressupostos'!$F$16*AD9+'Perfil e pressupostos'!$F$17*AE9)/'Perfil e pressupostos'!$F$18</f>
        <v>22.5</v>
      </c>
      <c r="AG9" s="41" t="n">
        <f aca="false">INDEX('Perfil e pressupostos'!$B$25:$B$28,MATCH(V9,'Perfil e pressupostos'!$A$25:$A$28,0))</f>
        <v>0.03</v>
      </c>
      <c r="AH9" s="41" t="n">
        <f aca="false">MIN('Perfil e pressupostos'!$F$29,AG9*('Perfil e pressupostos'!$F$25+'Perfil e pressupostos'!$F$26*AF9/100)*IF(AD9&lt;='Perfil e pressupostos'!$F$28,'Perfil e pressupostos'!$F$27,1))</f>
        <v>0.0201</v>
      </c>
      <c r="AI9" s="35" t="str">
        <f aca="false">IF(AQ9=0,"—",IF(AH9&gt;='Perfil e pressupostos'!$F$30,"Boa",IF(AH9&gt;='Perfil e pressupostos'!$F$31,"Média","Baixa")))</f>
        <v>Baixa</v>
      </c>
      <c r="AJ9" s="7" t="s">
        <v>251</v>
      </c>
      <c r="AK9" s="7" t="s">
        <v>184</v>
      </c>
      <c r="AL9" s="35" t="str">
        <f aca="false">IF(AK9="Prazo expirado","Prazo passado",IF(LEFT(AK9,11)="Monitorizar","Monitorizar",IF(Y9&gt;=3.5,"Prioridade",IF(Y9&gt;=3,"Candidatar (reach)","Reserva"))))</f>
        <v>Reserva</v>
      </c>
      <c r="AM9" s="7" t="s">
        <v>252</v>
      </c>
      <c r="AN9" s="42" t="s">
        <v>253</v>
      </c>
      <c r="AO9" s="7" t="s">
        <v>187</v>
      </c>
      <c r="AP9" s="7" t="s">
        <v>188</v>
      </c>
      <c r="AQ9" s="7" t="n">
        <f aca="false">IF(OR(AK9="Prazo expirado",LEFT(AK9,11)="Monitorizar"),0,1)</f>
        <v>1</v>
      </c>
      <c r="AR9" s="41" t="n">
        <f aca="false">IF(AQ9=0,0,AH9)</f>
        <v>0.0201</v>
      </c>
      <c r="AS9" s="41" t="n">
        <f aca="false">AR9*W9/5</f>
        <v>0.01608</v>
      </c>
      <c r="AT9" s="43" t="n">
        <f aca="false">AS9+W9/1000000+(1000-ROW())/1000000000</f>
        <v>0.016084991</v>
      </c>
      <c r="AU9" s="35" t="n">
        <f aca="false">RANK(AT9,$AT$4:$AT$227)</f>
        <v>94</v>
      </c>
      <c r="AV9" s="40" t="n">
        <f aca="false">IF(AQ9=0,"",AF9)</f>
        <v>22.5</v>
      </c>
      <c r="AW9" s="41" t="n">
        <f aca="false">IF(AQ9=0,"",AH9)</f>
        <v>0.0201</v>
      </c>
    </row>
    <row r="10" customFormat="false" ht="45" hidden="false" customHeight="true" outlineLevel="0" collapsed="false">
      <c r="A10" s="35" t="n">
        <v>7</v>
      </c>
      <c r="B10" s="7" t="s">
        <v>243</v>
      </c>
      <c r="C10" s="7" t="s">
        <v>254</v>
      </c>
      <c r="D10" s="7" t="s">
        <v>255</v>
      </c>
      <c r="E10" s="7" t="s">
        <v>170</v>
      </c>
      <c r="F10" s="35" t="s">
        <v>85</v>
      </c>
      <c r="G10" s="7" t="s">
        <v>205</v>
      </c>
      <c r="H10" s="7" t="s">
        <v>172</v>
      </c>
      <c r="I10" s="7" t="s">
        <v>173</v>
      </c>
      <c r="J10" s="35" t="s">
        <v>207</v>
      </c>
      <c r="K10" s="7" t="s">
        <v>256</v>
      </c>
      <c r="L10" s="7" t="s">
        <v>257</v>
      </c>
      <c r="M10" s="7" t="s">
        <v>258</v>
      </c>
      <c r="N10" s="7" t="s">
        <v>259</v>
      </c>
      <c r="O10" s="7" t="s">
        <v>179</v>
      </c>
      <c r="P10" s="35" t="str">
        <f aca="true">IF(ISNUMBER(O10),O10-TODAY(),"")</f>
        <v/>
      </c>
      <c r="Q10" s="7" t="s">
        <v>179</v>
      </c>
      <c r="R10" s="36" t="n">
        <v>1500</v>
      </c>
      <c r="S10" s="36" t="n">
        <v>2500</v>
      </c>
      <c r="T10" s="37" t="n">
        <f aca="false">IF(R10="","",AVERAGE(R10,S10))</f>
        <v>2000</v>
      </c>
      <c r="U10" s="7" t="s">
        <v>250</v>
      </c>
      <c r="V10" s="38" t="s">
        <v>181</v>
      </c>
      <c r="W10" s="38" t="n">
        <v>5</v>
      </c>
      <c r="X10" s="38" t="n">
        <v>1</v>
      </c>
      <c r="Y10" s="35" t="n">
        <f aca="false">ROUND(0.6*W10+0.4*X10,1)</f>
        <v>3.4</v>
      </c>
      <c r="Z10" s="38" t="s">
        <v>213</v>
      </c>
      <c r="AA10" s="38" t="n">
        <v>1</v>
      </c>
      <c r="AB10" s="39" t="n">
        <f aca="false">1-AA10*(1-INDEX('Perfil e pressupostos'!$C$14:$C$20,MATCH(Z10,'Perfil e pressupostos'!$A$14:$A$20,0)))</f>
        <v>0.05</v>
      </c>
      <c r="AC10" s="38" t="n">
        <v>0.05</v>
      </c>
      <c r="AD10" s="38" t="n">
        <v>0.3</v>
      </c>
      <c r="AE10" s="38" t="n">
        <v>0.6</v>
      </c>
      <c r="AF10" s="40" t="n">
        <f aca="false">100*('Perfil e pressupostos'!$F$14*AB10+'Perfil e pressupostos'!$F$15*AC10+'Perfil e pressupostos'!$F$16*AD10+'Perfil e pressupostos'!$F$17*AE10)/'Perfil e pressupostos'!$F$18</f>
        <v>19.5</v>
      </c>
      <c r="AG10" s="41" t="n">
        <f aca="false">INDEX('Perfil e pressupostos'!$B$25:$B$28,MATCH(V10,'Perfil e pressupostos'!$A$25:$A$28,0))</f>
        <v>0.01</v>
      </c>
      <c r="AH10" s="41" t="n">
        <f aca="false">MIN('Perfil e pressupostos'!$F$29,AG10*('Perfil e pressupostos'!$F$25+'Perfil e pressupostos'!$F$26*AF10/100)*IF(AD10&lt;='Perfil e pressupostos'!$F$28,'Perfil e pressupostos'!$F$27,1))</f>
        <v>0.00634</v>
      </c>
      <c r="AI10" s="35" t="str">
        <f aca="false">IF(AQ10=0,"—",IF(AH10&gt;='Perfil e pressupostos'!$F$30,"Boa",IF(AH10&gt;='Perfil e pressupostos'!$F$31,"Média","Baixa")))</f>
        <v>Baixa</v>
      </c>
      <c r="AJ10" s="7" t="s">
        <v>251</v>
      </c>
      <c r="AK10" s="7" t="s">
        <v>184</v>
      </c>
      <c r="AL10" s="35" t="str">
        <f aca="false">IF(AK10="Prazo expirado","Prazo passado",IF(LEFT(AK10,11)="Monitorizar","Monitorizar",IF(Y10&gt;=3.5,"Prioridade",IF(Y10&gt;=3,"Candidatar (reach)","Reserva"))))</f>
        <v>Candidatar (reach)</v>
      </c>
      <c r="AM10" s="7" t="s">
        <v>260</v>
      </c>
      <c r="AN10" s="42" t="s">
        <v>261</v>
      </c>
      <c r="AO10" s="7" t="s">
        <v>187</v>
      </c>
      <c r="AP10" s="7" t="s">
        <v>188</v>
      </c>
      <c r="AQ10" s="7" t="n">
        <f aca="false">IF(OR(AK10="Prazo expirado",LEFT(AK10,11)="Monitorizar"),0,1)</f>
        <v>1</v>
      </c>
      <c r="AR10" s="41" t="n">
        <f aca="false">IF(AQ10=0,0,AH10)</f>
        <v>0.00634</v>
      </c>
      <c r="AS10" s="41" t="n">
        <f aca="false">AR10*W10/5</f>
        <v>0.00634</v>
      </c>
      <c r="AT10" s="43" t="n">
        <f aca="false">AS10+W10/1000000+(1000-ROW())/1000000000</f>
        <v>0.00634599</v>
      </c>
      <c r="AU10" s="35" t="n">
        <f aca="false">RANK(AT10,$AT$4:$AT$227)</f>
        <v>182</v>
      </c>
      <c r="AV10" s="40" t="n">
        <f aca="false">IF(AQ10=0,"",AF10)</f>
        <v>19.5</v>
      </c>
      <c r="AW10" s="41" t="n">
        <f aca="false">IF(AQ10=0,"",AH10)</f>
        <v>0.00634</v>
      </c>
    </row>
    <row r="11" customFormat="false" ht="45" hidden="false" customHeight="true" outlineLevel="0" collapsed="false">
      <c r="A11" s="35" t="n">
        <v>8</v>
      </c>
      <c r="B11" s="7" t="s">
        <v>262</v>
      </c>
      <c r="C11" s="7" t="s">
        <v>263</v>
      </c>
      <c r="D11" s="7" t="s">
        <v>191</v>
      </c>
      <c r="E11" s="7" t="s">
        <v>170</v>
      </c>
      <c r="F11" s="35" t="s">
        <v>83</v>
      </c>
      <c r="G11" s="7" t="s">
        <v>192</v>
      </c>
      <c r="H11" s="7" t="s">
        <v>172</v>
      </c>
      <c r="I11" s="7" t="s">
        <v>173</v>
      </c>
      <c r="J11" s="35" t="s">
        <v>207</v>
      </c>
      <c r="K11" s="7" t="s">
        <v>264</v>
      </c>
      <c r="L11" s="7" t="s">
        <v>265</v>
      </c>
      <c r="M11" s="7" t="s">
        <v>266</v>
      </c>
      <c r="N11" s="7" t="s">
        <v>267</v>
      </c>
      <c r="O11" s="7" t="s">
        <v>179</v>
      </c>
      <c r="P11" s="35" t="str">
        <f aca="true">IF(ISNUMBER(O11),O11-TODAY(),"")</f>
        <v/>
      </c>
      <c r="Q11" s="7" t="s">
        <v>179</v>
      </c>
      <c r="R11" s="36" t="n">
        <v>1000</v>
      </c>
      <c r="S11" s="36" t="n">
        <v>1800</v>
      </c>
      <c r="T11" s="37" t="n">
        <f aca="false">IF(R11="","",AVERAGE(R11,S11))</f>
        <v>1400</v>
      </c>
      <c r="U11" s="7" t="s">
        <v>268</v>
      </c>
      <c r="V11" s="38" t="s">
        <v>199</v>
      </c>
      <c r="W11" s="38" t="n">
        <v>4</v>
      </c>
      <c r="X11" s="38" t="n">
        <v>2</v>
      </c>
      <c r="Y11" s="35" t="n">
        <f aca="false">ROUND(0.6*W11+0.4*X11,1)</f>
        <v>3.2</v>
      </c>
      <c r="Z11" s="38" t="s">
        <v>200</v>
      </c>
      <c r="AA11" s="38" t="n">
        <v>1</v>
      </c>
      <c r="AB11" s="39" t="n">
        <f aca="false">1-AA11*(1-INDEX('Perfil e pressupostos'!$C$14:$C$20,MATCH(Z11,'Perfil e pressupostos'!$A$14:$A$20,0)))</f>
        <v>0.3</v>
      </c>
      <c r="AC11" s="38" t="n">
        <v>0.2</v>
      </c>
      <c r="AD11" s="38" t="n">
        <v>1</v>
      </c>
      <c r="AE11" s="38" t="n">
        <v>0.8</v>
      </c>
      <c r="AF11" s="40" t="n">
        <f aca="false">100*('Perfil e pressupostos'!$F$14*AB11+'Perfil e pressupostos'!$F$15*AC11+'Perfil e pressupostos'!$F$16*AD11+'Perfil e pressupostos'!$F$17*AE11)/'Perfil e pressupostos'!$F$18</f>
        <v>52</v>
      </c>
      <c r="AG11" s="41" t="n">
        <f aca="false">INDEX('Perfil e pressupostos'!$B$25:$B$28,MATCH(V11,'Perfil e pressupostos'!$A$25:$A$28,0))</f>
        <v>0.03</v>
      </c>
      <c r="AH11" s="41" t="n">
        <f aca="false">MIN('Perfil e pressupostos'!$F$29,AG11*('Perfil e pressupostos'!$F$25+'Perfil e pressupostos'!$F$26*AF11/100)*IF(AD11&lt;='Perfil e pressupostos'!$F$28,'Perfil e pressupostos'!$F$27,1))</f>
        <v>0.03072</v>
      </c>
      <c r="AI11" s="35" t="str">
        <f aca="false">IF(AQ11=0,"—",IF(AH11&gt;='Perfil e pressupostos'!$F$30,"Boa",IF(AH11&gt;='Perfil e pressupostos'!$F$31,"Média","Baixa")))</f>
        <v>Média</v>
      </c>
      <c r="AJ11" s="7" t="s">
        <v>269</v>
      </c>
      <c r="AK11" s="7" t="s">
        <v>184</v>
      </c>
      <c r="AL11" s="35" t="str">
        <f aca="false">IF(AK11="Prazo expirado","Prazo passado",IF(LEFT(AK11,11)="Monitorizar","Monitorizar",IF(Y11&gt;=3.5,"Prioridade",IF(Y11&gt;=3,"Candidatar (reach)","Reserva"))))</f>
        <v>Candidatar (reach)</v>
      </c>
      <c r="AM11" s="7" t="s">
        <v>270</v>
      </c>
      <c r="AN11" s="42" t="s">
        <v>271</v>
      </c>
      <c r="AO11" s="7" t="s">
        <v>187</v>
      </c>
      <c r="AP11" s="7" t="s">
        <v>188</v>
      </c>
      <c r="AQ11" s="7" t="n">
        <f aca="false">IF(OR(AK11="Prazo expirado",LEFT(AK11,11)="Monitorizar"),0,1)</f>
        <v>1</v>
      </c>
      <c r="AR11" s="41" t="n">
        <f aca="false">IF(AQ11=0,0,AH11)</f>
        <v>0.03072</v>
      </c>
      <c r="AS11" s="41" t="n">
        <f aca="false">AR11*W11/5</f>
        <v>0.024576</v>
      </c>
      <c r="AT11" s="43" t="n">
        <f aca="false">AS11+W11/1000000+(1000-ROW())/1000000000</f>
        <v>0.024580989</v>
      </c>
      <c r="AU11" s="35" t="n">
        <f aca="false">RANK(AT11,$AT$4:$AT$227)</f>
        <v>62</v>
      </c>
      <c r="AV11" s="40" t="n">
        <f aca="false">IF(AQ11=0,"",AF11)</f>
        <v>52</v>
      </c>
      <c r="AW11" s="41" t="n">
        <f aca="false">IF(AQ11=0,"",AH11)</f>
        <v>0.03072</v>
      </c>
    </row>
    <row r="12" customFormat="false" ht="33.75" hidden="false" customHeight="true" outlineLevel="0" collapsed="false">
      <c r="A12" s="35" t="n">
        <v>9</v>
      </c>
      <c r="B12" s="7" t="s">
        <v>272</v>
      </c>
      <c r="C12" s="7" t="s">
        <v>273</v>
      </c>
      <c r="D12" s="7" t="s">
        <v>169</v>
      </c>
      <c r="E12" s="7" t="s">
        <v>230</v>
      </c>
      <c r="F12" s="35" t="s">
        <v>81</v>
      </c>
      <c r="G12" s="7" t="s">
        <v>171</v>
      </c>
      <c r="H12" s="7" t="s">
        <v>274</v>
      </c>
      <c r="I12" s="7" t="s">
        <v>173</v>
      </c>
      <c r="J12" s="35" t="s">
        <v>275</v>
      </c>
      <c r="K12" s="7" t="s">
        <v>276</v>
      </c>
      <c r="L12" s="7" t="s">
        <v>277</v>
      </c>
      <c r="M12" s="7" t="s">
        <v>177</v>
      </c>
      <c r="N12" s="7" t="s">
        <v>197</v>
      </c>
      <c r="O12" s="7" t="s">
        <v>179</v>
      </c>
      <c r="P12" s="35" t="str">
        <f aca="true">IF(ISNUMBER(O12),O12-TODAY(),"")</f>
        <v/>
      </c>
      <c r="Q12" s="7" t="s">
        <v>179</v>
      </c>
      <c r="R12" s="36" t="n">
        <v>2800</v>
      </c>
      <c r="S12" s="36" t="n">
        <v>4000</v>
      </c>
      <c r="T12" s="37" t="n">
        <f aca="false">IF(R12="","",AVERAGE(R12,S12))</f>
        <v>3400</v>
      </c>
      <c r="U12" s="7" t="s">
        <v>238</v>
      </c>
      <c r="V12" s="38" t="s">
        <v>181</v>
      </c>
      <c r="W12" s="38" t="n">
        <v>5</v>
      </c>
      <c r="X12" s="38" t="n">
        <v>1</v>
      </c>
      <c r="Y12" s="35" t="n">
        <f aca="false">ROUND(0.6*W12+0.4*X12,1)</f>
        <v>3.4</v>
      </c>
      <c r="Z12" s="38" t="s">
        <v>182</v>
      </c>
      <c r="AA12" s="38" t="n">
        <v>1</v>
      </c>
      <c r="AB12" s="39" t="n">
        <f aca="false">1-AA12*(1-INDEX('Perfil e pressupostos'!$C$14:$C$20,MATCH(Z12,'Perfil e pressupostos'!$A$14:$A$20,0)))</f>
        <v>0.95</v>
      </c>
      <c r="AC12" s="38" t="n">
        <v>0.05</v>
      </c>
      <c r="AD12" s="38" t="n">
        <v>0.8</v>
      </c>
      <c r="AE12" s="38" t="n">
        <v>0.7</v>
      </c>
      <c r="AF12" s="40" t="n">
        <f aca="false">100*('Perfil e pressupostos'!$F$14*AB12+'Perfil e pressupostos'!$F$15*AC12+'Perfil e pressupostos'!$F$16*AD12+'Perfil e pressupostos'!$F$17*AE12)/'Perfil e pressupostos'!$F$18</f>
        <v>60.5</v>
      </c>
      <c r="AG12" s="41" t="n">
        <f aca="false">INDEX('Perfil e pressupostos'!$B$25:$B$28,MATCH(V12,'Perfil e pressupostos'!$A$25:$A$28,0))</f>
        <v>0.01</v>
      </c>
      <c r="AH12" s="41" t="n">
        <f aca="false">MIN('Perfil e pressupostos'!$F$29,AG12*('Perfil e pressupostos'!$F$25+'Perfil e pressupostos'!$F$26*AF12/100)*IF(AD12&lt;='Perfil e pressupostos'!$F$28,'Perfil e pressupostos'!$F$27,1))</f>
        <v>0.01126</v>
      </c>
      <c r="AI12" s="35" t="str">
        <f aca="false">IF(AQ12=0,"—",IF(AH12&gt;='Perfil e pressupostos'!$F$30,"Boa",IF(AH12&gt;='Perfil e pressupostos'!$F$31,"Média","Baixa")))</f>
        <v>Baixa</v>
      </c>
      <c r="AJ12" s="7" t="s">
        <v>183</v>
      </c>
      <c r="AK12" s="7" t="s">
        <v>184</v>
      </c>
      <c r="AL12" s="35" t="str">
        <f aca="false">IF(AK12="Prazo expirado","Prazo passado",IF(LEFT(AK12,11)="Monitorizar","Monitorizar",IF(Y12&gt;=3.5,"Prioridade",IF(Y12&gt;=3,"Candidatar (reach)","Reserva"))))</f>
        <v>Candidatar (reach)</v>
      </c>
      <c r="AM12" s="7" t="s">
        <v>278</v>
      </c>
      <c r="AN12" s="42" t="s">
        <v>279</v>
      </c>
      <c r="AO12" s="7" t="s">
        <v>187</v>
      </c>
      <c r="AP12" s="7" t="s">
        <v>188</v>
      </c>
      <c r="AQ12" s="7" t="n">
        <f aca="false">IF(OR(AK12="Prazo expirado",LEFT(AK12,11)="Monitorizar"),0,1)</f>
        <v>1</v>
      </c>
      <c r="AR12" s="41" t="n">
        <f aca="false">IF(AQ12=0,0,AH12)</f>
        <v>0.01126</v>
      </c>
      <c r="AS12" s="41" t="n">
        <f aca="false">AR12*W12/5</f>
        <v>0.01126</v>
      </c>
      <c r="AT12" s="43" t="n">
        <f aca="false">AS12+W12/1000000+(1000-ROW())/1000000000</f>
        <v>0.011265988</v>
      </c>
      <c r="AU12" s="35" t="n">
        <f aca="false">RANK(AT12,$AT$4:$AT$227)</f>
        <v>102</v>
      </c>
      <c r="AV12" s="40" t="n">
        <f aca="false">IF(AQ12=0,"",AF12)</f>
        <v>60.5</v>
      </c>
      <c r="AW12" s="41" t="n">
        <f aca="false">IF(AQ12=0,"",AH12)</f>
        <v>0.01126</v>
      </c>
    </row>
    <row r="13" customFormat="false" ht="33.75" hidden="false" customHeight="true" outlineLevel="0" collapsed="false">
      <c r="A13" s="35" t="n">
        <v>10</v>
      </c>
      <c r="B13" s="7" t="s">
        <v>280</v>
      </c>
      <c r="C13" s="7" t="s">
        <v>281</v>
      </c>
      <c r="D13" s="7" t="s">
        <v>282</v>
      </c>
      <c r="E13" s="7" t="s">
        <v>283</v>
      </c>
      <c r="F13" s="35" t="s">
        <v>85</v>
      </c>
      <c r="G13" s="7" t="s">
        <v>205</v>
      </c>
      <c r="H13" s="7" t="s">
        <v>172</v>
      </c>
      <c r="I13" s="7" t="s">
        <v>284</v>
      </c>
      <c r="J13" s="35" t="s">
        <v>174</v>
      </c>
      <c r="K13" s="7" t="s">
        <v>285</v>
      </c>
      <c r="L13" s="7" t="s">
        <v>286</v>
      </c>
      <c r="M13" s="7" t="s">
        <v>287</v>
      </c>
      <c r="N13" s="7" t="s">
        <v>288</v>
      </c>
      <c r="O13" s="44" t="n">
        <v>46295</v>
      </c>
      <c r="P13" s="35" t="n">
        <f aca="true">IF(ISNUMBER(O13),O13-TODAY(),"")</f>
        <v>-17</v>
      </c>
      <c r="Q13" s="7" t="s">
        <v>289</v>
      </c>
      <c r="R13" s="36" t="n">
        <v>1800</v>
      </c>
      <c r="S13" s="36" t="n">
        <v>2800</v>
      </c>
      <c r="T13" s="37" t="n">
        <f aca="false">IF(R13="","",AVERAGE(R13,S13))</f>
        <v>2300</v>
      </c>
      <c r="U13" s="7" t="s">
        <v>290</v>
      </c>
      <c r="V13" s="38" t="s">
        <v>181</v>
      </c>
      <c r="W13" s="38" t="n">
        <v>3</v>
      </c>
      <c r="X13" s="38" t="n">
        <v>1</v>
      </c>
      <c r="Y13" s="35" t="n">
        <f aca="false">ROUND(0.6*W13+0.4*X13,1)</f>
        <v>2.2</v>
      </c>
      <c r="Z13" s="38" t="s">
        <v>213</v>
      </c>
      <c r="AA13" s="38" t="n">
        <v>0.4</v>
      </c>
      <c r="AB13" s="39" t="n">
        <f aca="false">1-AA13*(1-INDEX('Perfil e pressupostos'!$C$14:$C$20,MATCH(Z13,'Perfil e pressupostos'!$A$14:$A$20,0)))</f>
        <v>0.62</v>
      </c>
      <c r="AC13" s="38" t="n">
        <v>0.5</v>
      </c>
      <c r="AD13" s="38" t="n">
        <v>0</v>
      </c>
      <c r="AE13" s="38" t="n">
        <v>0.8</v>
      </c>
      <c r="AF13" s="40" t="n">
        <f aca="false">100*('Perfil e pressupostos'!$F$14*AB13+'Perfil e pressupostos'!$F$15*AC13+'Perfil e pressupostos'!$F$16*AD13+'Perfil e pressupostos'!$F$17*AE13)/'Perfil e pressupostos'!$F$18</f>
        <v>45.6</v>
      </c>
      <c r="AG13" s="41" t="n">
        <f aca="false">INDEX('Perfil e pressupostos'!$B$25:$B$28,MATCH(V13,'Perfil e pressupostos'!$A$25:$A$28,0))</f>
        <v>0.01</v>
      </c>
      <c r="AH13" s="41" t="n">
        <f aca="false">MIN('Perfil e pressupostos'!$F$29,AG13*('Perfil e pressupostos'!$F$25+'Perfil e pressupostos'!$F$26*AF13/100)*IF(AD13&lt;='Perfil e pressupostos'!$F$28,'Perfil e pressupostos'!$F$27,1))</f>
        <v>0.0009472</v>
      </c>
      <c r="AI13" s="35" t="str">
        <f aca="false">IF(AQ13=0,"—",IF(AH13&gt;='Perfil e pressupostos'!$F$30,"Boa",IF(AH13&gt;='Perfil e pressupostos'!$F$31,"Média","Baixa")))</f>
        <v>—</v>
      </c>
      <c r="AJ13" s="7" t="s">
        <v>291</v>
      </c>
      <c r="AK13" s="7" t="s">
        <v>292</v>
      </c>
      <c r="AL13" s="35" t="str">
        <f aca="false">IF(AK13="Prazo expirado","Prazo passado",IF(LEFT(AK13,11)="Monitorizar","Monitorizar",IF(Y13&gt;=3.5,"Prioridade",IF(Y13&gt;=3,"Candidatar (reach)","Reserva"))))</f>
        <v>Prazo passado</v>
      </c>
      <c r="AM13" s="7" t="s">
        <v>293</v>
      </c>
      <c r="AN13" s="42" t="s">
        <v>294</v>
      </c>
      <c r="AO13" s="7" t="s">
        <v>295</v>
      </c>
      <c r="AP13" s="7" t="s">
        <v>188</v>
      </c>
      <c r="AQ13" s="7" t="n">
        <f aca="false">IF(OR(AK13="Prazo expirado",LEFT(AK13,11)="Monitorizar"),0,1)</f>
        <v>0</v>
      </c>
      <c r="AR13" s="41" t="n">
        <f aca="false">IF(AQ13=0,0,AH13)</f>
        <v>0</v>
      </c>
      <c r="AS13" s="41" t="n">
        <f aca="false">AR13*W13/5</f>
        <v>0</v>
      </c>
      <c r="AT13" s="43" t="n">
        <f aca="false">AS13+W13/1000000+(1000-ROW())/1000000000</f>
        <v>3.987E-006</v>
      </c>
      <c r="AU13" s="35" t="n">
        <f aca="false">RANK(AT13,$AT$4:$AT$227)</f>
        <v>208</v>
      </c>
      <c r="AV13" s="40" t="str">
        <f aca="false">IF(AQ13=0,"",AF13)</f>
        <v/>
      </c>
      <c r="AW13" s="41" t="str">
        <f aca="false">IF(AQ13=0,"",AH13)</f>
        <v/>
      </c>
    </row>
    <row r="14" customFormat="false" ht="33.75" hidden="false" customHeight="true" outlineLevel="0" collapsed="false">
      <c r="A14" s="35" t="n">
        <v>11</v>
      </c>
      <c r="B14" s="7" t="s">
        <v>280</v>
      </c>
      <c r="C14" s="7" t="s">
        <v>296</v>
      </c>
      <c r="D14" s="7" t="s">
        <v>282</v>
      </c>
      <c r="E14" s="7" t="s">
        <v>283</v>
      </c>
      <c r="F14" s="35" t="s">
        <v>87</v>
      </c>
      <c r="G14" s="7" t="s">
        <v>297</v>
      </c>
      <c r="H14" s="7" t="s">
        <v>172</v>
      </c>
      <c r="I14" s="7" t="s">
        <v>298</v>
      </c>
      <c r="J14" s="35" t="s">
        <v>299</v>
      </c>
      <c r="K14" s="7" t="s">
        <v>300</v>
      </c>
      <c r="L14" s="7" t="s">
        <v>301</v>
      </c>
      <c r="M14" s="7" t="s">
        <v>302</v>
      </c>
      <c r="N14" s="7" t="s">
        <v>288</v>
      </c>
      <c r="O14" s="44" t="n">
        <v>46339</v>
      </c>
      <c r="P14" s="35" t="n">
        <f aca="true">IF(ISNUMBER(O14),O14-TODAY(),"")</f>
        <v>27</v>
      </c>
      <c r="Q14" s="7" t="s">
        <v>289</v>
      </c>
      <c r="R14" s="36" t="n">
        <v>1800</v>
      </c>
      <c r="S14" s="36" t="n">
        <v>2500</v>
      </c>
      <c r="T14" s="37" t="n">
        <f aca="false">IF(R14="","",AVERAGE(R14,S14))</f>
        <v>2150</v>
      </c>
      <c r="U14" s="7" t="s">
        <v>303</v>
      </c>
      <c r="V14" s="38" t="s">
        <v>181</v>
      </c>
      <c r="W14" s="38" t="n">
        <v>3</v>
      </c>
      <c r="X14" s="38" t="n">
        <v>1</v>
      </c>
      <c r="Y14" s="35" t="n">
        <f aca="false">ROUND(0.6*W14+0.4*X14,1)</f>
        <v>2.2</v>
      </c>
      <c r="Z14" s="38" t="s">
        <v>304</v>
      </c>
      <c r="AA14" s="38" t="n">
        <v>0.3</v>
      </c>
      <c r="AB14" s="39" t="n">
        <f aca="false">1-AA14*(1-INDEX('Perfil e pressupostos'!$C$14:$C$20,MATCH(Z14,'Perfil e pressupostos'!$A$14:$A$20,0)))</f>
        <v>0.715</v>
      </c>
      <c r="AC14" s="38" t="n">
        <v>0.5</v>
      </c>
      <c r="AD14" s="38" t="n">
        <v>0.1</v>
      </c>
      <c r="AE14" s="38" t="n">
        <v>0.8</v>
      </c>
      <c r="AF14" s="40" t="n">
        <f aca="false">100*('Perfil e pressupostos'!$F$14*AB14+'Perfil e pressupostos'!$F$15*AC14+'Perfil e pressupostos'!$F$16*AD14+'Perfil e pressupostos'!$F$17*AE14)/'Perfil e pressupostos'!$F$18</f>
        <v>50.95</v>
      </c>
      <c r="AG14" s="41" t="n">
        <f aca="false">INDEX('Perfil e pressupostos'!$B$25:$B$28,MATCH(V14,'Perfil e pressupostos'!$A$25:$A$28,0))</f>
        <v>0.01</v>
      </c>
      <c r="AH14" s="41" t="n">
        <f aca="false">MIN('Perfil e pressupostos'!$F$29,AG14*('Perfil e pressupostos'!$F$25+'Perfil e pressupostos'!$F$26*AF14/100)*IF(AD14&lt;='Perfil e pressupostos'!$F$28,'Perfil e pressupostos'!$F$27,1))</f>
        <v>0.0010114</v>
      </c>
      <c r="AI14" s="35" t="str">
        <f aca="false">IF(AQ14=0,"—",IF(AH14&gt;='Perfil e pressupostos'!$F$30,"Boa",IF(AH14&gt;='Perfil e pressupostos'!$F$31,"Média","Baixa")))</f>
        <v>Baixa</v>
      </c>
      <c r="AJ14" s="7" t="s">
        <v>305</v>
      </c>
      <c r="AK14" s="7" t="s">
        <v>306</v>
      </c>
      <c r="AL14" s="35" t="str">
        <f aca="false">IF(AK14="Prazo expirado","Prazo passado",IF(LEFT(AK14,11)="Monitorizar","Monitorizar",IF(Y14&gt;=3.5,"Prioridade",IF(Y14&gt;=3,"Candidatar (reach)","Reserva"))))</f>
        <v>Reserva</v>
      </c>
      <c r="AM14" s="7" t="s">
        <v>307</v>
      </c>
      <c r="AN14" s="42" t="s">
        <v>294</v>
      </c>
      <c r="AO14" s="7" t="s">
        <v>295</v>
      </c>
      <c r="AP14" s="7" t="s">
        <v>188</v>
      </c>
      <c r="AQ14" s="7" t="n">
        <f aca="false">IF(OR(AK14="Prazo expirado",LEFT(AK14,11)="Monitorizar"),0,1)</f>
        <v>1</v>
      </c>
      <c r="AR14" s="41" t="n">
        <f aca="false">IF(AQ14=0,0,AH14)</f>
        <v>0.0010114</v>
      </c>
      <c r="AS14" s="41" t="n">
        <f aca="false">AR14*W14/5</f>
        <v>0.00060684</v>
      </c>
      <c r="AT14" s="43" t="n">
        <f aca="false">AS14+W14/1000000+(1000-ROW())/1000000000</f>
        <v>0.000610826</v>
      </c>
      <c r="AU14" s="35" t="n">
        <f aca="false">RANK(AT14,$AT$4:$AT$227)</f>
        <v>200</v>
      </c>
      <c r="AV14" s="40" t="n">
        <f aca="false">IF(AQ14=0,"",AF14)</f>
        <v>50.95</v>
      </c>
      <c r="AW14" s="41" t="n">
        <f aca="false">IF(AQ14=0,"",AH14)</f>
        <v>0.0010114</v>
      </c>
    </row>
    <row r="15" customFormat="false" ht="33.75" hidden="false" customHeight="true" outlineLevel="0" collapsed="false">
      <c r="A15" s="35" t="n">
        <v>12</v>
      </c>
      <c r="B15" s="7" t="s">
        <v>308</v>
      </c>
      <c r="C15" s="7" t="s">
        <v>309</v>
      </c>
      <c r="D15" s="7" t="s">
        <v>191</v>
      </c>
      <c r="E15" s="7" t="s">
        <v>310</v>
      </c>
      <c r="F15" s="35" t="s">
        <v>89</v>
      </c>
      <c r="G15" s="7" t="s">
        <v>311</v>
      </c>
      <c r="H15" s="7" t="s">
        <v>312</v>
      </c>
      <c r="I15" s="7" t="s">
        <v>313</v>
      </c>
      <c r="J15" s="35" t="s">
        <v>207</v>
      </c>
      <c r="K15" s="7" t="s">
        <v>314</v>
      </c>
      <c r="L15" s="7" t="s">
        <v>315</v>
      </c>
      <c r="M15" s="7" t="s">
        <v>316</v>
      </c>
      <c r="N15" s="7" t="s">
        <v>197</v>
      </c>
      <c r="O15" s="7" t="s">
        <v>179</v>
      </c>
      <c r="P15" s="35" t="str">
        <f aca="true">IF(ISNUMBER(O15),O15-TODAY(),"")</f>
        <v/>
      </c>
      <c r="Q15" s="7" t="s">
        <v>179</v>
      </c>
      <c r="R15" s="36" t="n">
        <v>1000</v>
      </c>
      <c r="S15" s="36" t="n">
        <v>1400</v>
      </c>
      <c r="T15" s="37" t="n">
        <f aca="false">IF(R15="","",AVERAGE(R15,S15))</f>
        <v>1200</v>
      </c>
      <c r="U15" s="7" t="s">
        <v>317</v>
      </c>
      <c r="V15" s="38" t="s">
        <v>318</v>
      </c>
      <c r="W15" s="38" t="n">
        <v>4</v>
      </c>
      <c r="X15" s="38" t="n">
        <v>4</v>
      </c>
      <c r="Y15" s="35" t="n">
        <f aca="false">ROUND(0.6*W15+0.4*X15,1)</f>
        <v>4</v>
      </c>
      <c r="Z15" s="38" t="s">
        <v>182</v>
      </c>
      <c r="AA15" s="38" t="n">
        <v>1</v>
      </c>
      <c r="AB15" s="39" t="n">
        <f aca="false">1-AA15*(1-INDEX('Perfil e pressupostos'!$C$14:$C$20,MATCH(Z15,'Perfil e pressupostos'!$A$14:$A$20,0)))</f>
        <v>0.95</v>
      </c>
      <c r="AC15" s="38" t="n">
        <v>0.7</v>
      </c>
      <c r="AD15" s="38" t="n">
        <v>1</v>
      </c>
      <c r="AE15" s="38" t="n">
        <v>0.9</v>
      </c>
      <c r="AF15" s="40" t="n">
        <f aca="false">100*('Perfil e pressupostos'!$F$14*AB15+'Perfil e pressupostos'!$F$15*AC15+'Perfil e pressupostos'!$F$16*AD15+'Perfil e pressupostos'!$F$17*AE15)/'Perfil e pressupostos'!$F$18</f>
        <v>88</v>
      </c>
      <c r="AG15" s="41" t="n">
        <f aca="false">INDEX('Perfil e pressupostos'!$B$25:$B$28,MATCH(V15,'Perfil e pressupostos'!$A$25:$A$28,0))</f>
        <v>0.08</v>
      </c>
      <c r="AH15" s="41" t="n">
        <f aca="false">MIN('Perfil e pressupostos'!$F$29,AG15*('Perfil e pressupostos'!$F$25+'Perfil e pressupostos'!$F$26*AF15/100)*IF(AD15&lt;='Perfil e pressupostos'!$F$28,'Perfil e pressupostos'!$F$27,1))</f>
        <v>0.11648</v>
      </c>
      <c r="AI15" s="35" t="str">
        <f aca="false">IF(AQ15=0,"—",IF(AH15&gt;='Perfil e pressupostos'!$F$30,"Boa",IF(AH15&gt;='Perfil e pressupostos'!$F$31,"Média","Baixa")))</f>
        <v>Boa</v>
      </c>
      <c r="AJ15" s="7" t="s">
        <v>319</v>
      </c>
      <c r="AK15" s="7" t="s">
        <v>184</v>
      </c>
      <c r="AL15" s="35" t="str">
        <f aca="false">IF(AK15="Prazo expirado","Prazo passado",IF(LEFT(AK15,11)="Monitorizar","Monitorizar",IF(Y15&gt;=3.5,"Prioridade",IF(Y15&gt;=3,"Candidatar (reach)","Reserva"))))</f>
        <v>Prioridade</v>
      </c>
      <c r="AM15" s="7" t="s">
        <v>320</v>
      </c>
      <c r="AN15" s="42" t="s">
        <v>321</v>
      </c>
      <c r="AO15" s="7" t="s">
        <v>187</v>
      </c>
      <c r="AP15" s="7" t="s">
        <v>188</v>
      </c>
      <c r="AQ15" s="7" t="n">
        <f aca="false">IF(OR(AK15="Prazo expirado",LEFT(AK15,11)="Monitorizar"),0,1)</f>
        <v>1</v>
      </c>
      <c r="AR15" s="41" t="n">
        <f aca="false">IF(AQ15=0,0,AH15)</f>
        <v>0.11648</v>
      </c>
      <c r="AS15" s="41" t="n">
        <f aca="false">AR15*W15/5</f>
        <v>0.093184</v>
      </c>
      <c r="AT15" s="43" t="n">
        <f aca="false">AS15+W15/1000000+(1000-ROW())/1000000000</f>
        <v>0.093188985</v>
      </c>
      <c r="AU15" s="35" t="n">
        <f aca="false">RANK(AT15,$AT$4:$AT$227)</f>
        <v>7</v>
      </c>
      <c r="AV15" s="40" t="n">
        <f aca="false">IF(AQ15=0,"",AF15)</f>
        <v>88</v>
      </c>
      <c r="AW15" s="41" t="n">
        <f aca="false">IF(AQ15=0,"",AH15)</f>
        <v>0.11648</v>
      </c>
    </row>
    <row r="16" customFormat="false" ht="33.75" hidden="false" customHeight="true" outlineLevel="0" collapsed="false">
      <c r="A16" s="35" t="n">
        <v>13</v>
      </c>
      <c r="B16" s="7" t="s">
        <v>322</v>
      </c>
      <c r="C16" s="7" t="s">
        <v>323</v>
      </c>
      <c r="D16" s="7" t="s">
        <v>324</v>
      </c>
      <c r="E16" s="7" t="s">
        <v>325</v>
      </c>
      <c r="F16" s="35" t="s">
        <v>89</v>
      </c>
      <c r="G16" s="7" t="s">
        <v>311</v>
      </c>
      <c r="H16" s="7" t="s">
        <v>312</v>
      </c>
      <c r="I16" s="7" t="s">
        <v>326</v>
      </c>
      <c r="J16" s="35" t="s">
        <v>327</v>
      </c>
      <c r="K16" s="7" t="s">
        <v>328</v>
      </c>
      <c r="L16" s="7" t="s">
        <v>329</v>
      </c>
      <c r="M16" s="7" t="s">
        <v>330</v>
      </c>
      <c r="N16" s="7" t="s">
        <v>331</v>
      </c>
      <c r="O16" s="7" t="s">
        <v>332</v>
      </c>
      <c r="P16" s="35" t="str">
        <f aca="true">IF(ISNUMBER(O16),O16-TODAY(),"")</f>
        <v/>
      </c>
      <c r="Q16" s="7" t="s">
        <v>333</v>
      </c>
      <c r="R16" s="36" t="n">
        <v>1300</v>
      </c>
      <c r="S16" s="36" t="n">
        <v>1800</v>
      </c>
      <c r="T16" s="37" t="n">
        <f aca="false">IF(R16="","",AVERAGE(R16,S16))</f>
        <v>1550</v>
      </c>
      <c r="U16" s="7" t="s">
        <v>334</v>
      </c>
      <c r="V16" s="38" t="s">
        <v>318</v>
      </c>
      <c r="W16" s="38" t="n">
        <v>4</v>
      </c>
      <c r="X16" s="38" t="n">
        <v>3.5</v>
      </c>
      <c r="Y16" s="35" t="n">
        <f aca="false">ROUND(0.6*W16+0.4*X16,1)</f>
        <v>3.8</v>
      </c>
      <c r="Z16" s="38" t="s">
        <v>182</v>
      </c>
      <c r="AA16" s="38" t="n">
        <v>1</v>
      </c>
      <c r="AB16" s="39" t="n">
        <f aca="false">1-AA16*(1-INDEX('Perfil e pressupostos'!$C$14:$C$20,MATCH(Z16,'Perfil e pressupostos'!$A$14:$A$20,0)))</f>
        <v>0.95</v>
      </c>
      <c r="AC16" s="38" t="n">
        <v>0.8</v>
      </c>
      <c r="AD16" s="38" t="n">
        <v>1</v>
      </c>
      <c r="AE16" s="38" t="n">
        <v>0.8</v>
      </c>
      <c r="AF16" s="40" t="n">
        <f aca="false">100*('Perfil e pressupostos'!$F$14*AB16+'Perfil e pressupostos'!$F$15*AC16+'Perfil e pressupostos'!$F$16*AD16+'Perfil e pressupostos'!$F$17*AE16)/'Perfil e pressupostos'!$F$18</f>
        <v>89.5</v>
      </c>
      <c r="AG16" s="41" t="n">
        <f aca="false">INDEX('Perfil e pressupostos'!$B$25:$B$28,MATCH(V16,'Perfil e pressupostos'!$A$25:$A$28,0))</f>
        <v>0.08</v>
      </c>
      <c r="AH16" s="41" t="n">
        <f aca="false">MIN('Perfil e pressupostos'!$F$29,AG16*('Perfil e pressupostos'!$F$25+'Perfil e pressupostos'!$F$26*AF16/100)*IF(AD16&lt;='Perfil e pressupostos'!$F$28,'Perfil e pressupostos'!$F$27,1))</f>
        <v>0.11792</v>
      </c>
      <c r="AI16" s="35" t="str">
        <f aca="false">IF(AQ16=0,"—",IF(AH16&gt;='Perfil e pressupostos'!$F$30,"Boa",IF(AH16&gt;='Perfil e pressupostos'!$F$31,"Média","Baixa")))</f>
        <v>Boa</v>
      </c>
      <c r="AJ16" s="7" t="s">
        <v>319</v>
      </c>
      <c r="AK16" s="7" t="s">
        <v>184</v>
      </c>
      <c r="AL16" s="35" t="str">
        <f aca="false">IF(AK16="Prazo expirado","Prazo passado",IF(LEFT(AK16,11)="Monitorizar","Monitorizar",IF(Y16&gt;=3.5,"Prioridade",IF(Y16&gt;=3,"Candidatar (reach)","Reserva"))))</f>
        <v>Prioridade</v>
      </c>
      <c r="AM16" s="7" t="s">
        <v>335</v>
      </c>
      <c r="AN16" s="42" t="s">
        <v>336</v>
      </c>
      <c r="AO16" s="7" t="s">
        <v>295</v>
      </c>
      <c r="AP16" s="7" t="s">
        <v>218</v>
      </c>
      <c r="AQ16" s="7" t="n">
        <f aca="false">IF(OR(AK16="Prazo expirado",LEFT(AK16,11)="Monitorizar"),0,1)</f>
        <v>1</v>
      </c>
      <c r="AR16" s="41" t="n">
        <f aca="false">IF(AQ16=0,0,AH16)</f>
        <v>0.11792</v>
      </c>
      <c r="AS16" s="41" t="n">
        <f aca="false">AR16*W16/5</f>
        <v>0.094336</v>
      </c>
      <c r="AT16" s="43" t="n">
        <f aca="false">AS16+W16/1000000+(1000-ROW())/1000000000</f>
        <v>0.094340984</v>
      </c>
      <c r="AU16" s="35" t="n">
        <f aca="false">RANK(AT16,$AT$4:$AT$227)</f>
        <v>6</v>
      </c>
      <c r="AV16" s="40" t="n">
        <f aca="false">IF(AQ16=0,"",AF16)</f>
        <v>89.5</v>
      </c>
      <c r="AW16" s="41" t="n">
        <f aca="false">IF(AQ16=0,"",AH16)</f>
        <v>0.11792</v>
      </c>
    </row>
    <row r="17" customFormat="false" ht="45" hidden="false" customHeight="true" outlineLevel="0" collapsed="false">
      <c r="A17" s="35" t="n">
        <v>14</v>
      </c>
      <c r="B17" s="7" t="s">
        <v>262</v>
      </c>
      <c r="C17" s="7" t="s">
        <v>337</v>
      </c>
      <c r="D17" s="7" t="s">
        <v>191</v>
      </c>
      <c r="E17" s="7" t="s">
        <v>170</v>
      </c>
      <c r="F17" s="35" t="s">
        <v>89</v>
      </c>
      <c r="G17" s="7" t="s">
        <v>311</v>
      </c>
      <c r="H17" s="7" t="s">
        <v>172</v>
      </c>
      <c r="I17" s="7" t="s">
        <v>338</v>
      </c>
      <c r="J17" s="35" t="s">
        <v>207</v>
      </c>
      <c r="K17" s="7" t="s">
        <v>339</v>
      </c>
      <c r="L17" s="7" t="s">
        <v>340</v>
      </c>
      <c r="M17" s="7" t="s">
        <v>341</v>
      </c>
      <c r="N17" s="7" t="s">
        <v>342</v>
      </c>
      <c r="O17" s="7" t="s">
        <v>343</v>
      </c>
      <c r="P17" s="35" t="str">
        <f aca="true">IF(ISNUMBER(O17),O17-TODAY(),"")</f>
        <v/>
      </c>
      <c r="Q17" s="7" t="s">
        <v>344</v>
      </c>
      <c r="R17" s="36" t="n">
        <v>1000</v>
      </c>
      <c r="S17" s="36" t="n">
        <v>1400</v>
      </c>
      <c r="T17" s="37" t="n">
        <f aca="false">IF(R17="","",AVERAGE(R17,S17))</f>
        <v>1200</v>
      </c>
      <c r="U17" s="7" t="s">
        <v>345</v>
      </c>
      <c r="V17" s="38" t="s">
        <v>318</v>
      </c>
      <c r="W17" s="38" t="n">
        <v>4</v>
      </c>
      <c r="X17" s="38" t="n">
        <v>3</v>
      </c>
      <c r="Y17" s="35" t="n">
        <f aca="false">ROUND(0.6*W17+0.4*X17,1)</f>
        <v>3.6</v>
      </c>
      <c r="Z17" s="38" t="s">
        <v>182</v>
      </c>
      <c r="AA17" s="38" t="n">
        <v>1</v>
      </c>
      <c r="AB17" s="39" t="n">
        <f aca="false">1-AA17*(1-INDEX('Perfil e pressupostos'!$C$14:$C$20,MATCH(Z17,'Perfil e pressupostos'!$A$14:$A$20,0)))</f>
        <v>0.95</v>
      </c>
      <c r="AC17" s="38" t="n">
        <v>0.7</v>
      </c>
      <c r="AD17" s="38" t="n">
        <v>1</v>
      </c>
      <c r="AE17" s="38" t="n">
        <v>0.8</v>
      </c>
      <c r="AF17" s="40" t="n">
        <f aca="false">100*('Perfil e pressupostos'!$F$14*AB17+'Perfil e pressupostos'!$F$15*AC17+'Perfil e pressupostos'!$F$16*AD17+'Perfil e pressupostos'!$F$17*AE17)/'Perfil e pressupostos'!$F$18</f>
        <v>86.5</v>
      </c>
      <c r="AG17" s="41" t="n">
        <f aca="false">INDEX('Perfil e pressupostos'!$B$25:$B$28,MATCH(V17,'Perfil e pressupostos'!$A$25:$A$28,0))</f>
        <v>0.08</v>
      </c>
      <c r="AH17" s="41" t="n">
        <f aca="false">MIN('Perfil e pressupostos'!$F$29,AG17*('Perfil e pressupostos'!$F$25+'Perfil e pressupostos'!$F$26*AF17/100)*IF(AD17&lt;='Perfil e pressupostos'!$F$28,'Perfil e pressupostos'!$F$27,1))</f>
        <v>0.11504</v>
      </c>
      <c r="AI17" s="35" t="str">
        <f aca="false">IF(AQ17=0,"—",IF(AH17&gt;='Perfil e pressupostos'!$F$30,"Boa",IF(AH17&gt;='Perfil e pressupostos'!$F$31,"Média","Baixa")))</f>
        <v>—</v>
      </c>
      <c r="AJ17" s="7" t="s">
        <v>319</v>
      </c>
      <c r="AK17" s="7" t="s">
        <v>346</v>
      </c>
      <c r="AL17" s="35" t="str">
        <f aca="false">IF(AK17="Prazo expirado","Prazo passado",IF(LEFT(AK17,11)="Monitorizar","Monitorizar",IF(Y17&gt;=3.5,"Prioridade",IF(Y17&gt;=3,"Candidatar (reach)","Reserva"))))</f>
        <v>Monitorizar</v>
      </c>
      <c r="AM17" s="7" t="s">
        <v>347</v>
      </c>
      <c r="AN17" s="42" t="s">
        <v>348</v>
      </c>
      <c r="AO17" s="7" t="s">
        <v>187</v>
      </c>
      <c r="AP17" s="7" t="s">
        <v>188</v>
      </c>
      <c r="AQ17" s="7" t="n">
        <f aca="false">IF(OR(AK17="Prazo expirado",LEFT(AK17,11)="Monitorizar"),0,1)</f>
        <v>0</v>
      </c>
      <c r="AR17" s="41" t="n">
        <f aca="false">IF(AQ17=0,0,AH17)</f>
        <v>0</v>
      </c>
      <c r="AS17" s="41" t="n">
        <f aca="false">AR17*W17/5</f>
        <v>0</v>
      </c>
      <c r="AT17" s="43" t="n">
        <f aca="false">AS17+W17/1000000+(1000-ROW())/1000000000</f>
        <v>4.983E-006</v>
      </c>
      <c r="AU17" s="35" t="n">
        <f aca="false">RANK(AT17,$AT$4:$AT$227)</f>
        <v>201</v>
      </c>
      <c r="AV17" s="40" t="str">
        <f aca="false">IF(AQ17=0,"",AF17)</f>
        <v/>
      </c>
      <c r="AW17" s="41" t="str">
        <f aca="false">IF(AQ17=0,"",AH17)</f>
        <v/>
      </c>
    </row>
    <row r="18" customFormat="false" ht="33.75" hidden="false" customHeight="true" outlineLevel="0" collapsed="false">
      <c r="A18" s="35" t="n">
        <v>15</v>
      </c>
      <c r="B18" s="7" t="s">
        <v>349</v>
      </c>
      <c r="C18" s="7" t="s">
        <v>350</v>
      </c>
      <c r="D18" s="7" t="s">
        <v>169</v>
      </c>
      <c r="E18" s="7" t="s">
        <v>230</v>
      </c>
      <c r="F18" s="35" t="s">
        <v>85</v>
      </c>
      <c r="G18" s="7" t="s">
        <v>205</v>
      </c>
      <c r="H18" s="7" t="s">
        <v>172</v>
      </c>
      <c r="I18" s="7" t="s">
        <v>173</v>
      </c>
      <c r="J18" s="35" t="s">
        <v>174</v>
      </c>
      <c r="K18" s="7" t="s">
        <v>351</v>
      </c>
      <c r="L18" s="7" t="s">
        <v>352</v>
      </c>
      <c r="M18" s="7" t="s">
        <v>353</v>
      </c>
      <c r="N18" s="7" t="s">
        <v>354</v>
      </c>
      <c r="O18" s="7" t="s">
        <v>355</v>
      </c>
      <c r="P18" s="35" t="str">
        <f aca="true">IF(ISNUMBER(O18),O18-TODAY(),"")</f>
        <v/>
      </c>
      <c r="Q18" s="7" t="s">
        <v>356</v>
      </c>
      <c r="R18" s="36" t="n">
        <v>1500</v>
      </c>
      <c r="S18" s="36" t="n">
        <v>2500</v>
      </c>
      <c r="T18" s="37" t="n">
        <f aca="false">IF(R18="","",AVERAGE(R18,S18))</f>
        <v>2000</v>
      </c>
      <c r="U18" s="7" t="s">
        <v>357</v>
      </c>
      <c r="V18" s="38" t="s">
        <v>181</v>
      </c>
      <c r="W18" s="38" t="n">
        <v>5</v>
      </c>
      <c r="X18" s="38" t="n">
        <v>1</v>
      </c>
      <c r="Y18" s="35" t="n">
        <f aca="false">ROUND(0.6*W18+0.4*X18,1)</f>
        <v>3.4</v>
      </c>
      <c r="Z18" s="38" t="s">
        <v>213</v>
      </c>
      <c r="AA18" s="38" t="n">
        <v>1</v>
      </c>
      <c r="AB18" s="39" t="n">
        <f aca="false">1-AA18*(1-INDEX('Perfil e pressupostos'!$C$14:$C$20,MATCH(Z18,'Perfil e pressupostos'!$A$14:$A$20,0)))</f>
        <v>0.05</v>
      </c>
      <c r="AC18" s="38" t="n">
        <v>0.3</v>
      </c>
      <c r="AD18" s="38" t="n">
        <v>0.3</v>
      </c>
      <c r="AE18" s="38" t="n">
        <v>0.8</v>
      </c>
      <c r="AF18" s="40" t="n">
        <f aca="false">100*('Perfil e pressupostos'!$F$14*AB18+'Perfil e pressupostos'!$F$15*AC18+'Perfil e pressupostos'!$F$16*AD18+'Perfil e pressupostos'!$F$17*AE18)/'Perfil e pressupostos'!$F$18</f>
        <v>30</v>
      </c>
      <c r="AG18" s="41" t="n">
        <f aca="false">INDEX('Perfil e pressupostos'!$B$25:$B$28,MATCH(V18,'Perfil e pressupostos'!$A$25:$A$28,0))</f>
        <v>0.01</v>
      </c>
      <c r="AH18" s="41" t="n">
        <f aca="false">MIN('Perfil e pressupostos'!$F$29,AG18*('Perfil e pressupostos'!$F$25+'Perfil e pressupostos'!$F$26*AF18/100)*IF(AD18&lt;='Perfil e pressupostos'!$F$28,'Perfil e pressupostos'!$F$27,1))</f>
        <v>0.0076</v>
      </c>
      <c r="AI18" s="35" t="str">
        <f aca="false">IF(AQ18=0,"—",IF(AH18&gt;='Perfil e pressupostos'!$F$30,"Boa",IF(AH18&gt;='Perfil e pressupostos'!$F$31,"Média","Baixa")))</f>
        <v>Baixa</v>
      </c>
      <c r="AJ18" s="7" t="s">
        <v>358</v>
      </c>
      <c r="AK18" s="7" t="s">
        <v>184</v>
      </c>
      <c r="AL18" s="35" t="str">
        <f aca="false">IF(AK18="Prazo expirado","Prazo passado",IF(LEFT(AK18,11)="Monitorizar","Monitorizar",IF(Y18&gt;=3.5,"Prioridade",IF(Y18&gt;=3,"Candidatar (reach)","Reserva"))))</f>
        <v>Candidatar (reach)</v>
      </c>
      <c r="AM18" s="7" t="s">
        <v>359</v>
      </c>
      <c r="AN18" s="42" t="s">
        <v>360</v>
      </c>
      <c r="AO18" s="7" t="s">
        <v>361</v>
      </c>
      <c r="AP18" s="7" t="s">
        <v>188</v>
      </c>
      <c r="AQ18" s="7" t="n">
        <f aca="false">IF(OR(AK18="Prazo expirado",LEFT(AK18,11)="Monitorizar"),0,1)</f>
        <v>1</v>
      </c>
      <c r="AR18" s="41" t="n">
        <f aca="false">IF(AQ18=0,0,AH18)</f>
        <v>0.0076</v>
      </c>
      <c r="AS18" s="41" t="n">
        <f aca="false">AR18*W18/5</f>
        <v>0.0076</v>
      </c>
      <c r="AT18" s="43" t="n">
        <f aca="false">AS18+W18/1000000+(1000-ROW())/1000000000</f>
        <v>0.007605982</v>
      </c>
      <c r="AU18" s="35" t="n">
        <f aca="false">RANK(AT18,$AT$4:$AT$227)</f>
        <v>164</v>
      </c>
      <c r="AV18" s="40" t="n">
        <f aca="false">IF(AQ18=0,"",AF18)</f>
        <v>30</v>
      </c>
      <c r="AW18" s="41" t="n">
        <f aca="false">IF(AQ18=0,"",AH18)</f>
        <v>0.0076</v>
      </c>
    </row>
    <row r="19" customFormat="false" ht="33.75" hidden="false" customHeight="true" outlineLevel="0" collapsed="false">
      <c r="A19" s="35" t="n">
        <v>16</v>
      </c>
      <c r="B19" s="7" t="s">
        <v>349</v>
      </c>
      <c r="C19" s="7" t="s">
        <v>362</v>
      </c>
      <c r="D19" s="7" t="s">
        <v>169</v>
      </c>
      <c r="E19" s="7" t="s">
        <v>230</v>
      </c>
      <c r="F19" s="35" t="s">
        <v>85</v>
      </c>
      <c r="G19" s="7" t="s">
        <v>205</v>
      </c>
      <c r="H19" s="7" t="s">
        <v>172</v>
      </c>
      <c r="I19" s="7" t="s">
        <v>173</v>
      </c>
      <c r="J19" s="35" t="s">
        <v>363</v>
      </c>
      <c r="K19" s="7" t="s">
        <v>364</v>
      </c>
      <c r="L19" s="7" t="s">
        <v>365</v>
      </c>
      <c r="M19" s="7" t="s">
        <v>366</v>
      </c>
      <c r="N19" s="7" t="s">
        <v>367</v>
      </c>
      <c r="O19" s="7" t="s">
        <v>179</v>
      </c>
      <c r="P19" s="35" t="str">
        <f aca="true">IF(ISNUMBER(O19),O19-TODAY(),"")</f>
        <v/>
      </c>
      <c r="Q19" s="7" t="s">
        <v>179</v>
      </c>
      <c r="R19" s="36" t="n">
        <v>1500</v>
      </c>
      <c r="S19" s="36" t="n">
        <v>2500</v>
      </c>
      <c r="T19" s="37" t="n">
        <f aca="false">IF(R19="","",AVERAGE(R19,S19))</f>
        <v>2000</v>
      </c>
      <c r="U19" s="7" t="s">
        <v>357</v>
      </c>
      <c r="V19" s="38" t="s">
        <v>181</v>
      </c>
      <c r="W19" s="38" t="n">
        <v>5</v>
      </c>
      <c r="X19" s="38" t="n">
        <v>1</v>
      </c>
      <c r="Y19" s="35" t="n">
        <f aca="false">ROUND(0.6*W19+0.4*X19,1)</f>
        <v>3.4</v>
      </c>
      <c r="Z19" s="38" t="s">
        <v>213</v>
      </c>
      <c r="AA19" s="38" t="n">
        <v>0.8</v>
      </c>
      <c r="AB19" s="39" t="n">
        <f aca="false">1-AA19*(1-INDEX('Perfil e pressupostos'!$C$14:$C$20,MATCH(Z19,'Perfil e pressupostos'!$A$14:$A$20,0)))</f>
        <v>0.24</v>
      </c>
      <c r="AC19" s="38" t="n">
        <v>0.3</v>
      </c>
      <c r="AD19" s="38" t="n">
        <v>0.3</v>
      </c>
      <c r="AE19" s="38" t="n">
        <v>0.8</v>
      </c>
      <c r="AF19" s="40" t="n">
        <f aca="false">100*('Perfil e pressupostos'!$F$14*AB19+'Perfil e pressupostos'!$F$15*AC19+'Perfil e pressupostos'!$F$16*AD19+'Perfil e pressupostos'!$F$17*AE19)/'Perfil e pressupostos'!$F$18</f>
        <v>35.7</v>
      </c>
      <c r="AG19" s="41" t="n">
        <f aca="false">INDEX('Perfil e pressupostos'!$B$25:$B$28,MATCH(V19,'Perfil e pressupostos'!$A$25:$A$28,0))</f>
        <v>0.01</v>
      </c>
      <c r="AH19" s="41" t="n">
        <f aca="false">MIN('Perfil e pressupostos'!$F$29,AG19*('Perfil e pressupostos'!$F$25+'Perfil e pressupostos'!$F$26*AF19/100)*IF(AD19&lt;='Perfil e pressupostos'!$F$28,'Perfil e pressupostos'!$F$27,1))</f>
        <v>0.008284</v>
      </c>
      <c r="AI19" s="35" t="str">
        <f aca="false">IF(AQ19=0,"—",IF(AH19&gt;='Perfil e pressupostos'!$F$30,"Boa",IF(AH19&gt;='Perfil e pressupostos'!$F$31,"Média","Baixa")))</f>
        <v>Baixa</v>
      </c>
      <c r="AJ19" s="7" t="s">
        <v>368</v>
      </c>
      <c r="AK19" s="7" t="s">
        <v>215</v>
      </c>
      <c r="AL19" s="35" t="str">
        <f aca="false">IF(AK19="Prazo expirado","Prazo passado",IF(LEFT(AK19,11)="Monitorizar","Monitorizar",IF(Y19&gt;=3.5,"Prioridade",IF(Y19&gt;=3,"Candidatar (reach)","Reserva"))))</f>
        <v>Candidatar (reach)</v>
      </c>
      <c r="AM19" s="7" t="s">
        <v>369</v>
      </c>
      <c r="AN19" s="42" t="s">
        <v>370</v>
      </c>
      <c r="AO19" s="7" t="s">
        <v>361</v>
      </c>
      <c r="AP19" s="7" t="s">
        <v>218</v>
      </c>
      <c r="AQ19" s="7" t="n">
        <f aca="false">IF(OR(AK19="Prazo expirado",LEFT(AK19,11)="Monitorizar"),0,1)</f>
        <v>1</v>
      </c>
      <c r="AR19" s="41" t="n">
        <f aca="false">IF(AQ19=0,0,AH19)</f>
        <v>0.008284</v>
      </c>
      <c r="AS19" s="41" t="n">
        <f aca="false">AR19*W19/5</f>
        <v>0.008284</v>
      </c>
      <c r="AT19" s="43" t="n">
        <f aca="false">AS19+W19/1000000+(1000-ROW())/1000000000</f>
        <v>0.008289981</v>
      </c>
      <c r="AU19" s="35" t="n">
        <f aca="false">RANK(AT19,$AT$4:$AT$227)</f>
        <v>139</v>
      </c>
      <c r="AV19" s="40" t="n">
        <f aca="false">IF(AQ19=0,"",AF19)</f>
        <v>35.7</v>
      </c>
      <c r="AW19" s="41" t="n">
        <f aca="false">IF(AQ19=0,"",AH19)</f>
        <v>0.008284</v>
      </c>
    </row>
    <row r="20" customFormat="false" ht="33.75" hidden="false" customHeight="true" outlineLevel="0" collapsed="false">
      <c r="A20" s="35" t="n">
        <v>17</v>
      </c>
      <c r="B20" s="7" t="s">
        <v>349</v>
      </c>
      <c r="C20" s="7" t="s">
        <v>371</v>
      </c>
      <c r="D20" s="7" t="s">
        <v>169</v>
      </c>
      <c r="E20" s="7" t="s">
        <v>230</v>
      </c>
      <c r="F20" s="35" t="s">
        <v>85</v>
      </c>
      <c r="G20" s="7" t="s">
        <v>205</v>
      </c>
      <c r="H20" s="7" t="s">
        <v>172</v>
      </c>
      <c r="I20" s="7" t="s">
        <v>173</v>
      </c>
      <c r="J20" s="35" t="s">
        <v>363</v>
      </c>
      <c r="K20" s="7" t="s">
        <v>372</v>
      </c>
      <c r="L20" s="7" t="s">
        <v>222</v>
      </c>
      <c r="M20" s="7" t="s">
        <v>366</v>
      </c>
      <c r="N20" s="7" t="s">
        <v>367</v>
      </c>
      <c r="O20" s="7" t="s">
        <v>179</v>
      </c>
      <c r="P20" s="35" t="str">
        <f aca="true">IF(ISNUMBER(O20),O20-TODAY(),"")</f>
        <v/>
      </c>
      <c r="Q20" s="7" t="s">
        <v>179</v>
      </c>
      <c r="R20" s="36" t="n">
        <v>1500</v>
      </c>
      <c r="S20" s="36" t="n">
        <v>2500</v>
      </c>
      <c r="T20" s="37" t="n">
        <f aca="false">IF(R20="","",AVERAGE(R20,S20))</f>
        <v>2000</v>
      </c>
      <c r="U20" s="7" t="s">
        <v>357</v>
      </c>
      <c r="V20" s="38" t="s">
        <v>181</v>
      </c>
      <c r="W20" s="38" t="n">
        <v>5</v>
      </c>
      <c r="X20" s="38" t="n">
        <v>1</v>
      </c>
      <c r="Y20" s="35" t="n">
        <f aca="false">ROUND(0.6*W20+0.4*X20,1)</f>
        <v>3.4</v>
      </c>
      <c r="Z20" s="38" t="s">
        <v>213</v>
      </c>
      <c r="AA20" s="38" t="n">
        <v>0.8</v>
      </c>
      <c r="AB20" s="39" t="n">
        <f aca="false">1-AA20*(1-INDEX('Perfil e pressupostos'!$C$14:$C$20,MATCH(Z20,'Perfil e pressupostos'!$A$14:$A$20,0)))</f>
        <v>0.24</v>
      </c>
      <c r="AC20" s="38" t="n">
        <v>0.3</v>
      </c>
      <c r="AD20" s="38" t="n">
        <v>0.3</v>
      </c>
      <c r="AE20" s="38" t="n">
        <v>0.8</v>
      </c>
      <c r="AF20" s="40" t="n">
        <f aca="false">100*('Perfil e pressupostos'!$F$14*AB20+'Perfil e pressupostos'!$F$15*AC20+'Perfil e pressupostos'!$F$16*AD20+'Perfil e pressupostos'!$F$17*AE20)/'Perfil e pressupostos'!$F$18</f>
        <v>35.7</v>
      </c>
      <c r="AG20" s="41" t="n">
        <f aca="false">INDEX('Perfil e pressupostos'!$B$25:$B$28,MATCH(V20,'Perfil e pressupostos'!$A$25:$A$28,0))</f>
        <v>0.01</v>
      </c>
      <c r="AH20" s="41" t="n">
        <f aca="false">MIN('Perfil e pressupostos'!$F$29,AG20*('Perfil e pressupostos'!$F$25+'Perfil e pressupostos'!$F$26*AF20/100)*IF(AD20&lt;='Perfil e pressupostos'!$F$28,'Perfil e pressupostos'!$F$27,1))</f>
        <v>0.008284</v>
      </c>
      <c r="AI20" s="35" t="str">
        <f aca="false">IF(AQ20=0,"—",IF(AH20&gt;='Perfil e pressupostos'!$F$30,"Boa",IF(AH20&gt;='Perfil e pressupostos'!$F$31,"Média","Baixa")))</f>
        <v>Baixa</v>
      </c>
      <c r="AJ20" s="7" t="s">
        <v>368</v>
      </c>
      <c r="AK20" s="7" t="s">
        <v>215</v>
      </c>
      <c r="AL20" s="35" t="str">
        <f aca="false">IF(AK20="Prazo expirado","Prazo passado",IF(LEFT(AK20,11)="Monitorizar","Monitorizar",IF(Y20&gt;=3.5,"Prioridade",IF(Y20&gt;=3,"Candidatar (reach)","Reserva"))))</f>
        <v>Candidatar (reach)</v>
      </c>
      <c r="AM20" s="7" t="s">
        <v>369</v>
      </c>
      <c r="AN20" s="42" t="s">
        <v>373</v>
      </c>
      <c r="AO20" s="7" t="s">
        <v>361</v>
      </c>
      <c r="AP20" s="7" t="s">
        <v>218</v>
      </c>
      <c r="AQ20" s="7" t="n">
        <f aca="false">IF(OR(AK20="Prazo expirado",LEFT(AK20,11)="Monitorizar"),0,1)</f>
        <v>1</v>
      </c>
      <c r="AR20" s="41" t="n">
        <f aca="false">IF(AQ20=0,0,AH20)</f>
        <v>0.008284</v>
      </c>
      <c r="AS20" s="41" t="n">
        <f aca="false">AR20*W20/5</f>
        <v>0.008284</v>
      </c>
      <c r="AT20" s="43" t="n">
        <f aca="false">AS20+W20/1000000+(1000-ROW())/1000000000</f>
        <v>0.00828998</v>
      </c>
      <c r="AU20" s="35" t="n">
        <f aca="false">RANK(AT20,$AT$4:$AT$227)</f>
        <v>140</v>
      </c>
      <c r="AV20" s="40" t="n">
        <f aca="false">IF(AQ20=0,"",AF20)</f>
        <v>35.7</v>
      </c>
      <c r="AW20" s="41" t="n">
        <f aca="false">IF(AQ20=0,"",AH20)</f>
        <v>0.008284</v>
      </c>
    </row>
    <row r="21" customFormat="false" ht="33.75" hidden="false" customHeight="true" outlineLevel="0" collapsed="false">
      <c r="A21" s="35" t="n">
        <v>18</v>
      </c>
      <c r="B21" s="7" t="s">
        <v>349</v>
      </c>
      <c r="C21" s="7" t="s">
        <v>374</v>
      </c>
      <c r="D21" s="7" t="s">
        <v>375</v>
      </c>
      <c r="E21" s="7" t="s">
        <v>230</v>
      </c>
      <c r="F21" s="35" t="s">
        <v>83</v>
      </c>
      <c r="G21" s="7" t="s">
        <v>192</v>
      </c>
      <c r="H21" s="7" t="s">
        <v>172</v>
      </c>
      <c r="I21" s="7" t="s">
        <v>376</v>
      </c>
      <c r="J21" s="35" t="s">
        <v>207</v>
      </c>
      <c r="K21" s="7" t="s">
        <v>377</v>
      </c>
      <c r="L21" s="7" t="s">
        <v>378</v>
      </c>
      <c r="M21" s="7" t="s">
        <v>379</v>
      </c>
      <c r="N21" s="7" t="s">
        <v>215</v>
      </c>
      <c r="O21" s="7" t="s">
        <v>179</v>
      </c>
      <c r="P21" s="35" t="str">
        <f aca="true">IF(ISNUMBER(O21),O21-TODAY(),"")</f>
        <v/>
      </c>
      <c r="Q21" s="7" t="s">
        <v>179</v>
      </c>
      <c r="R21" s="36" t="n">
        <v>1000</v>
      </c>
      <c r="S21" s="36" t="n">
        <v>1800</v>
      </c>
      <c r="T21" s="37" t="n">
        <f aca="false">IF(R21="","",AVERAGE(R21,S21))</f>
        <v>1400</v>
      </c>
      <c r="U21" s="7" t="s">
        <v>380</v>
      </c>
      <c r="V21" s="38" t="s">
        <v>181</v>
      </c>
      <c r="W21" s="38" t="n">
        <v>4</v>
      </c>
      <c r="X21" s="38" t="n">
        <v>1</v>
      </c>
      <c r="Y21" s="35" t="n">
        <f aca="false">ROUND(0.6*W21+0.4*X21,1)</f>
        <v>2.8</v>
      </c>
      <c r="Z21" s="38" t="s">
        <v>200</v>
      </c>
      <c r="AA21" s="38" t="n">
        <v>0.4</v>
      </c>
      <c r="AB21" s="39" t="n">
        <f aca="false">1-AA21*(1-INDEX('Perfil e pressupostos'!$C$14:$C$20,MATCH(Z21,'Perfil e pressupostos'!$A$14:$A$20,0)))</f>
        <v>0.72</v>
      </c>
      <c r="AC21" s="38" t="n">
        <v>0.3</v>
      </c>
      <c r="AD21" s="38" t="n">
        <v>0.5</v>
      </c>
      <c r="AE21" s="38" t="n">
        <v>0.6</v>
      </c>
      <c r="AF21" s="40" t="n">
        <f aca="false">100*('Perfil e pressupostos'!$F$14*AB21+'Perfil e pressupostos'!$F$15*AC21+'Perfil e pressupostos'!$F$16*AD21+'Perfil e pressupostos'!$F$17*AE21)/'Perfil e pressupostos'!$F$18</f>
        <v>52.1</v>
      </c>
      <c r="AG21" s="41" t="n">
        <f aca="false">INDEX('Perfil e pressupostos'!$B$25:$B$28,MATCH(V21,'Perfil e pressupostos'!$A$25:$A$28,0))</f>
        <v>0.01</v>
      </c>
      <c r="AH21" s="41" t="n">
        <f aca="false">MIN('Perfil e pressupostos'!$F$29,AG21*('Perfil e pressupostos'!$F$25+'Perfil e pressupostos'!$F$26*AF21/100)*IF(AD21&lt;='Perfil e pressupostos'!$F$28,'Perfil e pressupostos'!$F$27,1))</f>
        <v>0.010252</v>
      </c>
      <c r="AI21" s="35" t="str">
        <f aca="false">IF(AQ21=0,"—",IF(AH21&gt;='Perfil e pressupostos'!$F$30,"Boa",IF(AH21&gt;='Perfil e pressupostos'!$F$31,"Média","Baixa")))</f>
        <v>Baixa</v>
      </c>
      <c r="AJ21" s="7" t="s">
        <v>381</v>
      </c>
      <c r="AK21" s="7" t="s">
        <v>215</v>
      </c>
      <c r="AL21" s="35" t="str">
        <f aca="false">IF(AK21="Prazo expirado","Prazo passado",IF(LEFT(AK21,11)="Monitorizar","Monitorizar",IF(Y21&gt;=3.5,"Prioridade",IF(Y21&gt;=3,"Candidatar (reach)","Reserva"))))</f>
        <v>Reserva</v>
      </c>
      <c r="AM21" s="7" t="s">
        <v>382</v>
      </c>
      <c r="AN21" s="42" t="s">
        <v>383</v>
      </c>
      <c r="AO21" s="7" t="s">
        <v>361</v>
      </c>
      <c r="AP21" s="7" t="s">
        <v>218</v>
      </c>
      <c r="AQ21" s="7" t="n">
        <f aca="false">IF(OR(AK21="Prazo expirado",LEFT(AK21,11)="Monitorizar"),0,1)</f>
        <v>1</v>
      </c>
      <c r="AR21" s="41" t="n">
        <f aca="false">IF(AQ21=0,0,AH21)</f>
        <v>0.010252</v>
      </c>
      <c r="AS21" s="41" t="n">
        <f aca="false">AR21*W21/5</f>
        <v>0.0082016</v>
      </c>
      <c r="AT21" s="43" t="n">
        <f aca="false">AS21+W21/1000000+(1000-ROW())/1000000000</f>
        <v>0.008206579</v>
      </c>
      <c r="AU21" s="35" t="n">
        <f aca="false">RANK(AT21,$AT$4:$AT$227)</f>
        <v>142</v>
      </c>
      <c r="AV21" s="40" t="n">
        <f aca="false">IF(AQ21=0,"",AF21)</f>
        <v>52.1</v>
      </c>
      <c r="AW21" s="41" t="n">
        <f aca="false">IF(AQ21=0,"",AH21)</f>
        <v>0.010252</v>
      </c>
    </row>
    <row r="22" customFormat="false" ht="33.75" hidden="false" customHeight="true" outlineLevel="0" collapsed="false">
      <c r="A22" s="35" t="n">
        <v>19</v>
      </c>
      <c r="B22" s="7" t="s">
        <v>349</v>
      </c>
      <c r="C22" s="7" t="s">
        <v>384</v>
      </c>
      <c r="D22" s="7" t="s">
        <v>375</v>
      </c>
      <c r="E22" s="7" t="s">
        <v>230</v>
      </c>
      <c r="F22" s="35" t="s">
        <v>91</v>
      </c>
      <c r="G22" s="7" t="s">
        <v>91</v>
      </c>
      <c r="H22" s="7" t="s">
        <v>172</v>
      </c>
      <c r="I22" s="7" t="s">
        <v>376</v>
      </c>
      <c r="J22" s="35" t="s">
        <v>207</v>
      </c>
      <c r="K22" s="7" t="s">
        <v>377</v>
      </c>
      <c r="L22" s="7" t="s">
        <v>378</v>
      </c>
      <c r="M22" s="7" t="s">
        <v>385</v>
      </c>
      <c r="N22" s="7" t="s">
        <v>215</v>
      </c>
      <c r="O22" s="7" t="s">
        <v>179</v>
      </c>
      <c r="P22" s="35" t="str">
        <f aca="true">IF(ISNUMBER(O22),O22-TODAY(),"")</f>
        <v/>
      </c>
      <c r="Q22" s="7" t="s">
        <v>179</v>
      </c>
      <c r="R22" s="36" t="n">
        <v>1800</v>
      </c>
      <c r="S22" s="36" t="n">
        <v>2500</v>
      </c>
      <c r="T22" s="37" t="n">
        <f aca="false">IF(R22="","",AVERAGE(R22,S22))</f>
        <v>2150</v>
      </c>
      <c r="U22" s="7" t="s">
        <v>386</v>
      </c>
      <c r="V22" s="38" t="s">
        <v>181</v>
      </c>
      <c r="W22" s="38" t="n">
        <v>4</v>
      </c>
      <c r="X22" s="38" t="n">
        <v>1</v>
      </c>
      <c r="Y22" s="35" t="n">
        <f aca="false">ROUND(0.6*W22+0.4*X22,1)</f>
        <v>2.8</v>
      </c>
      <c r="Z22" s="38" t="s">
        <v>213</v>
      </c>
      <c r="AA22" s="38" t="n">
        <v>0.4</v>
      </c>
      <c r="AB22" s="39" t="n">
        <f aca="false">1-AA22*(1-INDEX('Perfil e pressupostos'!$C$14:$C$20,MATCH(Z22,'Perfil e pressupostos'!$A$14:$A$20,0)))</f>
        <v>0.62</v>
      </c>
      <c r="AC22" s="38" t="n">
        <v>0.3</v>
      </c>
      <c r="AD22" s="38" t="n">
        <v>0.5</v>
      </c>
      <c r="AE22" s="38" t="n">
        <v>0.6</v>
      </c>
      <c r="AF22" s="40" t="n">
        <f aca="false">100*('Perfil e pressupostos'!$F$14*AB22+'Perfil e pressupostos'!$F$15*AC22+'Perfil e pressupostos'!$F$16*AD22+'Perfil e pressupostos'!$F$17*AE22)/'Perfil e pressupostos'!$F$18</f>
        <v>49.1</v>
      </c>
      <c r="AG22" s="41" t="n">
        <f aca="false">INDEX('Perfil e pressupostos'!$B$25:$B$28,MATCH(V22,'Perfil e pressupostos'!$A$25:$A$28,0))</f>
        <v>0.01</v>
      </c>
      <c r="AH22" s="41" t="n">
        <f aca="false">MIN('Perfil e pressupostos'!$F$29,AG22*('Perfil e pressupostos'!$F$25+'Perfil e pressupostos'!$F$26*AF22/100)*IF(AD22&lt;='Perfil e pressupostos'!$F$28,'Perfil e pressupostos'!$F$27,1))</f>
        <v>0.009892</v>
      </c>
      <c r="AI22" s="35" t="str">
        <f aca="false">IF(AQ22=0,"—",IF(AH22&gt;='Perfil e pressupostos'!$F$30,"Boa",IF(AH22&gt;='Perfil e pressupostos'!$F$31,"Média","Baixa")))</f>
        <v>Baixa</v>
      </c>
      <c r="AJ22" s="7" t="s">
        <v>387</v>
      </c>
      <c r="AK22" s="7" t="s">
        <v>215</v>
      </c>
      <c r="AL22" s="35" t="str">
        <f aca="false">IF(AK22="Prazo expirado","Prazo passado",IF(LEFT(AK22,11)="Monitorizar","Monitorizar",IF(Y22&gt;=3.5,"Prioridade",IF(Y22&gt;=3,"Candidatar (reach)","Reserva"))))</f>
        <v>Reserva</v>
      </c>
      <c r="AM22" s="7" t="s">
        <v>388</v>
      </c>
      <c r="AN22" s="42" t="s">
        <v>389</v>
      </c>
      <c r="AO22" s="7" t="s">
        <v>187</v>
      </c>
      <c r="AP22" s="7" t="s">
        <v>218</v>
      </c>
      <c r="AQ22" s="7" t="n">
        <f aca="false">IF(OR(AK22="Prazo expirado",LEFT(AK22,11)="Monitorizar"),0,1)</f>
        <v>1</v>
      </c>
      <c r="AR22" s="41" t="n">
        <f aca="false">IF(AQ22=0,0,AH22)</f>
        <v>0.009892</v>
      </c>
      <c r="AS22" s="41" t="n">
        <f aca="false">AR22*W22/5</f>
        <v>0.0079136</v>
      </c>
      <c r="AT22" s="43" t="n">
        <f aca="false">AS22+W22/1000000+(1000-ROW())/1000000000</f>
        <v>0.007918578</v>
      </c>
      <c r="AU22" s="35" t="n">
        <f aca="false">RANK(AT22,$AT$4:$AT$227)</f>
        <v>152</v>
      </c>
      <c r="AV22" s="40" t="n">
        <f aca="false">IF(AQ22=0,"",AF22)</f>
        <v>49.1</v>
      </c>
      <c r="AW22" s="41" t="n">
        <f aca="false">IF(AQ22=0,"",AH22)</f>
        <v>0.009892</v>
      </c>
    </row>
    <row r="23" customFormat="false" ht="33.75" hidden="false" customHeight="true" outlineLevel="0" collapsed="false">
      <c r="A23" s="35" t="n">
        <v>20</v>
      </c>
      <c r="B23" s="7" t="s">
        <v>390</v>
      </c>
      <c r="C23" s="7" t="s">
        <v>391</v>
      </c>
      <c r="D23" s="7" t="s">
        <v>392</v>
      </c>
      <c r="E23" s="7" t="s">
        <v>230</v>
      </c>
      <c r="F23" s="35" t="s">
        <v>85</v>
      </c>
      <c r="G23" s="7" t="s">
        <v>205</v>
      </c>
      <c r="H23" s="7" t="s">
        <v>172</v>
      </c>
      <c r="I23" s="7" t="s">
        <v>393</v>
      </c>
      <c r="J23" s="35" t="s">
        <v>394</v>
      </c>
      <c r="K23" s="7" t="s">
        <v>395</v>
      </c>
      <c r="L23" s="7" t="s">
        <v>396</v>
      </c>
      <c r="M23" s="7" t="s">
        <v>397</v>
      </c>
      <c r="N23" s="7" t="s">
        <v>398</v>
      </c>
      <c r="O23" s="7" t="s">
        <v>399</v>
      </c>
      <c r="P23" s="35" t="str">
        <f aca="true">IF(ISNUMBER(O23),O23-TODAY(),"")</f>
        <v/>
      </c>
      <c r="Q23" s="7" t="s">
        <v>400</v>
      </c>
      <c r="R23" s="36" t="n">
        <v>1500</v>
      </c>
      <c r="S23" s="36" t="n">
        <v>2200</v>
      </c>
      <c r="T23" s="37" t="n">
        <f aca="false">IF(R23="","",AVERAGE(R23,S23))</f>
        <v>1850</v>
      </c>
      <c r="U23" s="7" t="s">
        <v>401</v>
      </c>
      <c r="V23" s="38" t="s">
        <v>199</v>
      </c>
      <c r="W23" s="38" t="n">
        <v>4</v>
      </c>
      <c r="X23" s="38" t="n">
        <v>2.5</v>
      </c>
      <c r="Y23" s="35" t="n">
        <f aca="false">ROUND(0.6*W23+0.4*X23,1)</f>
        <v>3.4</v>
      </c>
      <c r="Z23" s="38" t="s">
        <v>182</v>
      </c>
      <c r="AA23" s="38" t="n">
        <v>1</v>
      </c>
      <c r="AB23" s="39" t="n">
        <f aca="false">1-AA23*(1-INDEX('Perfil e pressupostos'!$C$14:$C$20,MATCH(Z23,'Perfil e pressupostos'!$A$14:$A$20,0)))</f>
        <v>0.95</v>
      </c>
      <c r="AC23" s="38" t="n">
        <v>0.6</v>
      </c>
      <c r="AD23" s="38" t="n">
        <v>0.5</v>
      </c>
      <c r="AE23" s="38" t="n">
        <v>0.8</v>
      </c>
      <c r="AF23" s="40" t="n">
        <f aca="false">100*('Perfil e pressupostos'!$F$14*AB23+'Perfil e pressupostos'!$F$15*AC23+'Perfil e pressupostos'!$F$16*AD23+'Perfil e pressupostos'!$F$17*AE23)/'Perfil e pressupostos'!$F$18</f>
        <v>71</v>
      </c>
      <c r="AG23" s="41" t="n">
        <f aca="false">INDEX('Perfil e pressupostos'!$B$25:$B$28,MATCH(V23,'Perfil e pressupostos'!$A$25:$A$28,0))</f>
        <v>0.03</v>
      </c>
      <c r="AH23" s="41" t="n">
        <f aca="false">MIN('Perfil e pressupostos'!$F$29,AG23*('Perfil e pressupostos'!$F$25+'Perfil e pressupostos'!$F$26*AF23/100)*IF(AD23&lt;='Perfil e pressupostos'!$F$28,'Perfil e pressupostos'!$F$27,1))</f>
        <v>0.03756</v>
      </c>
      <c r="AI23" s="35" t="str">
        <f aca="false">IF(AQ23=0,"—",IF(AH23&gt;='Perfil e pressupostos'!$F$30,"Boa",IF(AH23&gt;='Perfil e pressupostos'!$F$31,"Média","Baixa")))</f>
        <v>Média</v>
      </c>
      <c r="AJ23" s="7" t="s">
        <v>402</v>
      </c>
      <c r="AK23" s="7" t="s">
        <v>240</v>
      </c>
      <c r="AL23" s="35" t="str">
        <f aca="false">IF(AK23="Prazo expirado","Prazo passado",IF(LEFT(AK23,11)="Monitorizar","Monitorizar",IF(Y23&gt;=3.5,"Prioridade",IF(Y23&gt;=3,"Candidatar (reach)","Reserva"))))</f>
        <v>Candidatar (reach)</v>
      </c>
      <c r="AM23" s="7" t="s">
        <v>403</v>
      </c>
      <c r="AN23" s="42" t="s">
        <v>404</v>
      </c>
      <c r="AO23" s="7" t="s">
        <v>361</v>
      </c>
      <c r="AP23" s="7" t="s">
        <v>188</v>
      </c>
      <c r="AQ23" s="7" t="n">
        <f aca="false">IF(OR(AK23="Prazo expirado",LEFT(AK23,11)="Monitorizar"),0,1)</f>
        <v>1</v>
      </c>
      <c r="AR23" s="41" t="n">
        <f aca="false">IF(AQ23=0,0,AH23)</f>
        <v>0.03756</v>
      </c>
      <c r="AS23" s="41" t="n">
        <f aca="false">AR23*W23/5</f>
        <v>0.030048</v>
      </c>
      <c r="AT23" s="43" t="n">
        <f aca="false">AS23+W23/1000000+(1000-ROW())/1000000000</f>
        <v>0.030052977</v>
      </c>
      <c r="AU23" s="35" t="n">
        <f aca="false">RANK(AT23,$AT$4:$AT$227)</f>
        <v>50</v>
      </c>
      <c r="AV23" s="40" t="n">
        <f aca="false">IF(AQ23=0,"",AF23)</f>
        <v>71</v>
      </c>
      <c r="AW23" s="41" t="n">
        <f aca="false">IF(AQ23=0,"",AH23)</f>
        <v>0.03756</v>
      </c>
    </row>
    <row r="24" customFormat="false" ht="33.75" hidden="false" customHeight="true" outlineLevel="0" collapsed="false">
      <c r="A24" s="35" t="n">
        <v>21</v>
      </c>
      <c r="B24" s="7" t="s">
        <v>390</v>
      </c>
      <c r="C24" s="7" t="s">
        <v>405</v>
      </c>
      <c r="D24" s="7" t="s">
        <v>406</v>
      </c>
      <c r="E24" s="7" t="s">
        <v>230</v>
      </c>
      <c r="F24" s="35" t="s">
        <v>85</v>
      </c>
      <c r="G24" s="7" t="s">
        <v>205</v>
      </c>
      <c r="H24" s="7" t="s">
        <v>172</v>
      </c>
      <c r="I24" s="7" t="s">
        <v>407</v>
      </c>
      <c r="J24" s="35" t="s">
        <v>394</v>
      </c>
      <c r="K24" s="7" t="s">
        <v>408</v>
      </c>
      <c r="L24" s="7" t="s">
        <v>409</v>
      </c>
      <c r="M24" s="7" t="s">
        <v>410</v>
      </c>
      <c r="N24" s="7" t="s">
        <v>411</v>
      </c>
      <c r="O24" s="7" t="s">
        <v>399</v>
      </c>
      <c r="P24" s="35" t="str">
        <f aca="true">IF(ISNUMBER(O24),O24-TODAY(),"")</f>
        <v/>
      </c>
      <c r="Q24" s="7" t="s">
        <v>400</v>
      </c>
      <c r="R24" s="36" t="n">
        <v>1500</v>
      </c>
      <c r="S24" s="36" t="n">
        <v>2200</v>
      </c>
      <c r="T24" s="37" t="n">
        <f aca="false">IF(R24="","",AVERAGE(R24,S24))</f>
        <v>1850</v>
      </c>
      <c r="U24" s="7" t="s">
        <v>401</v>
      </c>
      <c r="V24" s="38" t="s">
        <v>199</v>
      </c>
      <c r="W24" s="38" t="n">
        <v>4</v>
      </c>
      <c r="X24" s="38" t="n">
        <v>2.5</v>
      </c>
      <c r="Y24" s="35" t="n">
        <f aca="false">ROUND(0.6*W24+0.4*X24,1)</f>
        <v>3.4</v>
      </c>
      <c r="Z24" s="38" t="s">
        <v>182</v>
      </c>
      <c r="AA24" s="38" t="n">
        <v>1</v>
      </c>
      <c r="AB24" s="39" t="n">
        <f aca="false">1-AA24*(1-INDEX('Perfil e pressupostos'!$C$14:$C$20,MATCH(Z24,'Perfil e pressupostos'!$A$14:$A$20,0)))</f>
        <v>0.95</v>
      </c>
      <c r="AC24" s="38" t="n">
        <v>0.4</v>
      </c>
      <c r="AD24" s="38" t="n">
        <v>0.4</v>
      </c>
      <c r="AE24" s="38" t="n">
        <v>0.8</v>
      </c>
      <c r="AF24" s="40" t="n">
        <f aca="false">100*('Perfil e pressupostos'!$F$14*AB24+'Perfil e pressupostos'!$F$15*AC24+'Perfil e pressupostos'!$F$16*AD24+'Perfil e pressupostos'!$F$17*AE24)/'Perfil e pressupostos'!$F$18</f>
        <v>62.5</v>
      </c>
      <c r="AG24" s="41" t="n">
        <f aca="false">INDEX('Perfil e pressupostos'!$B$25:$B$28,MATCH(V24,'Perfil e pressupostos'!$A$25:$A$28,0))</f>
        <v>0.03</v>
      </c>
      <c r="AH24" s="41" t="n">
        <f aca="false">MIN('Perfil e pressupostos'!$F$29,AG24*('Perfil e pressupostos'!$F$25+'Perfil e pressupostos'!$F$26*AF24/100)*IF(AD24&lt;='Perfil e pressupostos'!$F$28,'Perfil e pressupostos'!$F$27,1))</f>
        <v>0.0345</v>
      </c>
      <c r="AI24" s="35" t="str">
        <f aca="false">IF(AQ24=0,"—",IF(AH24&gt;='Perfil e pressupostos'!$F$30,"Boa",IF(AH24&gt;='Perfil e pressupostos'!$F$31,"Média","Baixa")))</f>
        <v>Média</v>
      </c>
      <c r="AJ24" s="7" t="s">
        <v>412</v>
      </c>
      <c r="AK24" s="7" t="s">
        <v>240</v>
      </c>
      <c r="AL24" s="35" t="str">
        <f aca="false">IF(AK24="Prazo expirado","Prazo passado",IF(LEFT(AK24,11)="Monitorizar","Monitorizar",IF(Y24&gt;=3.5,"Prioridade",IF(Y24&gt;=3,"Candidatar (reach)","Reserva"))))</f>
        <v>Candidatar (reach)</v>
      </c>
      <c r="AM24" s="7" t="s">
        <v>413</v>
      </c>
      <c r="AN24" s="42" t="s">
        <v>414</v>
      </c>
      <c r="AO24" s="7" t="s">
        <v>361</v>
      </c>
      <c r="AP24" s="7" t="s">
        <v>188</v>
      </c>
      <c r="AQ24" s="7" t="n">
        <f aca="false">IF(OR(AK24="Prazo expirado",LEFT(AK24,11)="Monitorizar"),0,1)</f>
        <v>1</v>
      </c>
      <c r="AR24" s="41" t="n">
        <f aca="false">IF(AQ24=0,0,AH24)</f>
        <v>0.0345</v>
      </c>
      <c r="AS24" s="41" t="n">
        <f aca="false">AR24*W24/5</f>
        <v>0.0276</v>
      </c>
      <c r="AT24" s="43" t="n">
        <f aca="false">AS24+W24/1000000+(1000-ROW())/1000000000</f>
        <v>0.027604976</v>
      </c>
      <c r="AU24" s="35" t="n">
        <f aca="false">RANK(AT24,$AT$4:$AT$227)</f>
        <v>52</v>
      </c>
      <c r="AV24" s="40" t="n">
        <f aca="false">IF(AQ24=0,"",AF24)</f>
        <v>62.5</v>
      </c>
      <c r="AW24" s="41" t="n">
        <f aca="false">IF(AQ24=0,"",AH24)</f>
        <v>0.0345</v>
      </c>
    </row>
    <row r="25" customFormat="false" ht="33.75" hidden="false" customHeight="true" outlineLevel="0" collapsed="false">
      <c r="A25" s="35" t="n">
        <v>22</v>
      </c>
      <c r="B25" s="7" t="s">
        <v>415</v>
      </c>
      <c r="C25" s="7" t="s">
        <v>416</v>
      </c>
      <c r="D25" s="7" t="s">
        <v>417</v>
      </c>
      <c r="E25" s="7" t="s">
        <v>418</v>
      </c>
      <c r="F25" s="35" t="s">
        <v>91</v>
      </c>
      <c r="G25" s="7" t="s">
        <v>91</v>
      </c>
      <c r="H25" s="7" t="s">
        <v>172</v>
      </c>
      <c r="I25" s="7" t="s">
        <v>419</v>
      </c>
      <c r="J25" s="35" t="s">
        <v>420</v>
      </c>
      <c r="K25" s="7" t="s">
        <v>421</v>
      </c>
      <c r="L25" s="7" t="s">
        <v>422</v>
      </c>
      <c r="M25" s="7" t="s">
        <v>423</v>
      </c>
      <c r="N25" s="7" t="s">
        <v>424</v>
      </c>
      <c r="O25" s="7" t="s">
        <v>425</v>
      </c>
      <c r="P25" s="35" t="str">
        <f aca="true">IF(ISNUMBER(O25),O25-TODAY(),"")</f>
        <v/>
      </c>
      <c r="Q25" s="7" t="s">
        <v>426</v>
      </c>
      <c r="R25" s="36" t="n">
        <v>1500</v>
      </c>
      <c r="S25" s="36" t="n">
        <v>1500</v>
      </c>
      <c r="T25" s="37" t="n">
        <f aca="false">IF(R25="","",AVERAGE(R25,S25))</f>
        <v>1500</v>
      </c>
      <c r="U25" s="7" t="s">
        <v>427</v>
      </c>
      <c r="V25" s="38" t="s">
        <v>199</v>
      </c>
      <c r="W25" s="38" t="n">
        <v>3</v>
      </c>
      <c r="X25" s="38" t="n">
        <v>2.5</v>
      </c>
      <c r="Y25" s="35" t="n">
        <f aca="false">ROUND(0.6*W25+0.4*X25,1)</f>
        <v>2.8</v>
      </c>
      <c r="Z25" s="38" t="s">
        <v>182</v>
      </c>
      <c r="AA25" s="38" t="n">
        <v>1</v>
      </c>
      <c r="AB25" s="39" t="n">
        <f aca="false">1-AA25*(1-INDEX('Perfil e pressupostos'!$C$14:$C$20,MATCH(Z25,'Perfil e pressupostos'!$A$14:$A$20,0)))</f>
        <v>0.95</v>
      </c>
      <c r="AC25" s="38" t="n">
        <v>0.7</v>
      </c>
      <c r="AD25" s="38" t="n">
        <v>0.9</v>
      </c>
      <c r="AE25" s="38" t="n">
        <v>0.7</v>
      </c>
      <c r="AF25" s="40" t="n">
        <f aca="false">100*('Perfil e pressupostos'!$F$14*AB25+'Perfil e pressupostos'!$F$15*AC25+'Perfil e pressupostos'!$F$16*AD25+'Perfil e pressupostos'!$F$17*AE25)/'Perfil e pressupostos'!$F$18</f>
        <v>82.5</v>
      </c>
      <c r="AG25" s="41" t="n">
        <f aca="false">INDEX('Perfil e pressupostos'!$B$25:$B$28,MATCH(V25,'Perfil e pressupostos'!$A$25:$A$28,0))</f>
        <v>0.03</v>
      </c>
      <c r="AH25" s="41" t="n">
        <f aca="false">MIN('Perfil e pressupostos'!$F$29,AG25*('Perfil e pressupostos'!$F$25+'Perfil e pressupostos'!$F$26*AF25/100)*IF(AD25&lt;='Perfil e pressupostos'!$F$28,'Perfil e pressupostos'!$F$27,1))</f>
        <v>0.0417</v>
      </c>
      <c r="AI25" s="35" t="str">
        <f aca="false">IF(AQ25=0,"—",IF(AH25&gt;='Perfil e pressupostos'!$F$30,"Boa",IF(AH25&gt;='Perfil e pressupostos'!$F$31,"Média","Baixa")))</f>
        <v>Média</v>
      </c>
      <c r="AJ25" s="7" t="s">
        <v>319</v>
      </c>
      <c r="AK25" s="7" t="s">
        <v>215</v>
      </c>
      <c r="AL25" s="35" t="str">
        <f aca="false">IF(AK25="Prazo expirado","Prazo passado",IF(LEFT(AK25,11)="Monitorizar","Monitorizar",IF(Y25&gt;=3.5,"Prioridade",IF(Y25&gt;=3,"Candidatar (reach)","Reserva"))))</f>
        <v>Reserva</v>
      </c>
      <c r="AM25" s="7" t="s">
        <v>428</v>
      </c>
      <c r="AN25" s="42" t="s">
        <v>429</v>
      </c>
      <c r="AO25" s="7" t="s">
        <v>295</v>
      </c>
      <c r="AP25" s="7" t="s">
        <v>188</v>
      </c>
      <c r="AQ25" s="7" t="n">
        <f aca="false">IF(OR(AK25="Prazo expirado",LEFT(AK25,11)="Monitorizar"),0,1)</f>
        <v>1</v>
      </c>
      <c r="AR25" s="41" t="n">
        <f aca="false">IF(AQ25=0,0,AH25)</f>
        <v>0.0417</v>
      </c>
      <c r="AS25" s="41" t="n">
        <f aca="false">AR25*W25/5</f>
        <v>0.02502</v>
      </c>
      <c r="AT25" s="43" t="n">
        <f aca="false">AS25+W25/1000000+(1000-ROW())/1000000000</f>
        <v>0.025023975</v>
      </c>
      <c r="AU25" s="35" t="n">
        <f aca="false">RANK(AT25,$AT$4:$AT$227)</f>
        <v>60</v>
      </c>
      <c r="AV25" s="40" t="n">
        <f aca="false">IF(AQ25=0,"",AF25)</f>
        <v>82.5</v>
      </c>
      <c r="AW25" s="41" t="n">
        <f aca="false">IF(AQ25=0,"",AH25)</f>
        <v>0.0417</v>
      </c>
    </row>
    <row r="26" customFormat="false" ht="57" hidden="false" customHeight="true" outlineLevel="0" collapsed="false">
      <c r="A26" s="35" t="n">
        <v>23</v>
      </c>
      <c r="B26" s="7" t="s">
        <v>430</v>
      </c>
      <c r="C26" s="7" t="s">
        <v>431</v>
      </c>
      <c r="D26" s="7" t="s">
        <v>191</v>
      </c>
      <c r="E26" s="7" t="s">
        <v>170</v>
      </c>
      <c r="F26" s="35" t="s">
        <v>85</v>
      </c>
      <c r="G26" s="7" t="s">
        <v>205</v>
      </c>
      <c r="H26" s="7" t="s">
        <v>172</v>
      </c>
      <c r="I26" s="7" t="s">
        <v>173</v>
      </c>
      <c r="J26" s="35" t="s">
        <v>207</v>
      </c>
      <c r="K26" s="7" t="s">
        <v>432</v>
      </c>
      <c r="L26" s="7" t="s">
        <v>433</v>
      </c>
      <c r="M26" s="7" t="s">
        <v>210</v>
      </c>
      <c r="N26" s="7" t="s">
        <v>215</v>
      </c>
      <c r="O26" s="7" t="s">
        <v>179</v>
      </c>
      <c r="P26" s="35" t="str">
        <f aca="true">IF(ISNUMBER(O26),O26-TODAY(),"")</f>
        <v/>
      </c>
      <c r="Q26" s="7" t="s">
        <v>179</v>
      </c>
      <c r="R26" s="36" t="n">
        <v>1500</v>
      </c>
      <c r="S26" s="36" t="n">
        <v>2500</v>
      </c>
      <c r="T26" s="37" t="n">
        <f aca="false">IF(R26="","",AVERAGE(R26,S26))</f>
        <v>2000</v>
      </c>
      <c r="U26" s="7" t="s">
        <v>401</v>
      </c>
      <c r="V26" s="38" t="s">
        <v>181</v>
      </c>
      <c r="W26" s="38" t="n">
        <v>4</v>
      </c>
      <c r="X26" s="38" t="n">
        <v>1.5</v>
      </c>
      <c r="Y26" s="35" t="n">
        <f aca="false">ROUND(0.6*W26+0.4*X26,1)</f>
        <v>3</v>
      </c>
      <c r="Z26" s="38" t="s">
        <v>213</v>
      </c>
      <c r="AA26" s="38" t="n">
        <v>0.6</v>
      </c>
      <c r="AB26" s="39" t="n">
        <f aca="false">1-AA26*(1-INDEX('Perfil e pressupostos'!$C$14:$C$20,MATCH(Z26,'Perfil e pressupostos'!$A$14:$A$20,0)))</f>
        <v>0.43</v>
      </c>
      <c r="AC26" s="38" t="n">
        <v>0.3</v>
      </c>
      <c r="AD26" s="38" t="n">
        <v>0.5</v>
      </c>
      <c r="AE26" s="38" t="n">
        <v>0.7</v>
      </c>
      <c r="AF26" s="40" t="n">
        <f aca="false">100*('Perfil e pressupostos'!$F$14*AB26+'Perfil e pressupostos'!$F$15*AC26+'Perfil e pressupostos'!$F$16*AD26+'Perfil e pressupostos'!$F$17*AE26)/'Perfil e pressupostos'!$F$18</f>
        <v>44.9</v>
      </c>
      <c r="AG26" s="41" t="n">
        <f aca="false">INDEX('Perfil e pressupostos'!$B$25:$B$28,MATCH(V26,'Perfil e pressupostos'!$A$25:$A$28,0))</f>
        <v>0.01</v>
      </c>
      <c r="AH26" s="41" t="n">
        <f aca="false">MIN('Perfil e pressupostos'!$F$29,AG26*('Perfil e pressupostos'!$F$25+'Perfil e pressupostos'!$F$26*AF26/100)*IF(AD26&lt;='Perfil e pressupostos'!$F$28,'Perfil e pressupostos'!$F$27,1))</f>
        <v>0.009388</v>
      </c>
      <c r="AI26" s="35" t="str">
        <f aca="false">IF(AQ26=0,"—",IF(AH26&gt;='Perfil e pressupostos'!$F$30,"Boa",IF(AH26&gt;='Perfil e pressupostos'!$F$31,"Média","Baixa")))</f>
        <v>Baixa</v>
      </c>
      <c r="AJ26" s="7" t="s">
        <v>214</v>
      </c>
      <c r="AK26" s="7" t="s">
        <v>215</v>
      </c>
      <c r="AL26" s="35" t="str">
        <f aca="false">IF(AK26="Prazo expirado","Prazo passado",IF(LEFT(AK26,11)="Monitorizar","Monitorizar",IF(Y26&gt;=3.5,"Prioridade",IF(Y26&gt;=3,"Candidatar (reach)","Reserva"))))</f>
        <v>Candidatar (reach)</v>
      </c>
      <c r="AM26" s="7" t="s">
        <v>434</v>
      </c>
      <c r="AN26" s="42" t="s">
        <v>435</v>
      </c>
      <c r="AO26" s="7" t="s">
        <v>187</v>
      </c>
      <c r="AP26" s="7" t="s">
        <v>218</v>
      </c>
      <c r="AQ26" s="7" t="n">
        <f aca="false">IF(OR(AK26="Prazo expirado",LEFT(AK26,11)="Monitorizar"),0,1)</f>
        <v>1</v>
      </c>
      <c r="AR26" s="41" t="n">
        <f aca="false">IF(AQ26=0,0,AH26)</f>
        <v>0.009388</v>
      </c>
      <c r="AS26" s="41" t="n">
        <f aca="false">AR26*W26/5</f>
        <v>0.0075104</v>
      </c>
      <c r="AT26" s="43" t="n">
        <f aca="false">AS26+W26/1000000+(1000-ROW())/1000000000</f>
        <v>0.007515374</v>
      </c>
      <c r="AU26" s="35" t="n">
        <f aca="false">RANK(AT26,$AT$4:$AT$227)</f>
        <v>172</v>
      </c>
      <c r="AV26" s="40" t="n">
        <f aca="false">IF(AQ26=0,"",AF26)</f>
        <v>44.9</v>
      </c>
      <c r="AW26" s="41" t="n">
        <f aca="false">IF(AQ26=0,"",AH26)</f>
        <v>0.009388</v>
      </c>
    </row>
    <row r="27" customFormat="false" ht="57" hidden="false" customHeight="true" outlineLevel="0" collapsed="false">
      <c r="A27" s="35" t="n">
        <v>24</v>
      </c>
      <c r="B27" s="7" t="s">
        <v>430</v>
      </c>
      <c r="C27" s="7" t="s">
        <v>436</v>
      </c>
      <c r="D27" s="7" t="s">
        <v>191</v>
      </c>
      <c r="E27" s="7" t="s">
        <v>170</v>
      </c>
      <c r="F27" s="35" t="s">
        <v>83</v>
      </c>
      <c r="G27" s="7" t="s">
        <v>192</v>
      </c>
      <c r="H27" s="7" t="s">
        <v>172</v>
      </c>
      <c r="I27" s="7" t="s">
        <v>437</v>
      </c>
      <c r="J27" s="35" t="s">
        <v>207</v>
      </c>
      <c r="K27" s="7" t="s">
        <v>432</v>
      </c>
      <c r="L27" s="7" t="s">
        <v>222</v>
      </c>
      <c r="M27" s="7" t="s">
        <v>438</v>
      </c>
      <c r="N27" s="7" t="s">
        <v>215</v>
      </c>
      <c r="O27" s="7" t="s">
        <v>179</v>
      </c>
      <c r="P27" s="35" t="str">
        <f aca="true">IF(ISNUMBER(O27),O27-TODAY(),"")</f>
        <v/>
      </c>
      <c r="Q27" s="7" t="s">
        <v>179</v>
      </c>
      <c r="R27" s="36" t="n">
        <v>1000</v>
      </c>
      <c r="S27" s="36" t="n">
        <v>1800</v>
      </c>
      <c r="T27" s="37" t="n">
        <f aca="false">IF(R27="","",AVERAGE(R27,S27))</f>
        <v>1400</v>
      </c>
      <c r="U27" s="7" t="s">
        <v>380</v>
      </c>
      <c r="V27" s="38" t="s">
        <v>181</v>
      </c>
      <c r="W27" s="38" t="n">
        <v>4</v>
      </c>
      <c r="X27" s="38" t="n">
        <v>2</v>
      </c>
      <c r="Y27" s="35" t="n">
        <f aca="false">ROUND(0.6*W27+0.4*X27,1)</f>
        <v>3.2</v>
      </c>
      <c r="Z27" s="38" t="s">
        <v>200</v>
      </c>
      <c r="AA27" s="38" t="n">
        <v>0.7</v>
      </c>
      <c r="AB27" s="39" t="n">
        <f aca="false">1-AA27*(1-INDEX('Perfil e pressupostos'!$C$14:$C$20,MATCH(Z27,'Perfil e pressupostos'!$A$14:$A$20,0)))</f>
        <v>0.51</v>
      </c>
      <c r="AC27" s="38" t="n">
        <v>0.3</v>
      </c>
      <c r="AD27" s="38" t="n">
        <v>0.6</v>
      </c>
      <c r="AE27" s="38" t="n">
        <v>0.7</v>
      </c>
      <c r="AF27" s="40" t="n">
        <f aca="false">100*('Perfil e pressupostos'!$F$14*AB27+'Perfil e pressupostos'!$F$15*AC27+'Perfil e pressupostos'!$F$16*AD27+'Perfil e pressupostos'!$F$17*AE27)/'Perfil e pressupostos'!$F$18</f>
        <v>49.8</v>
      </c>
      <c r="AG27" s="41" t="n">
        <f aca="false">INDEX('Perfil e pressupostos'!$B$25:$B$28,MATCH(V27,'Perfil e pressupostos'!$A$25:$A$28,0))</f>
        <v>0.01</v>
      </c>
      <c r="AH27" s="41" t="n">
        <f aca="false">MIN('Perfil e pressupostos'!$F$29,AG27*('Perfil e pressupostos'!$F$25+'Perfil e pressupostos'!$F$26*AF27/100)*IF(AD27&lt;='Perfil e pressupostos'!$F$28,'Perfil e pressupostos'!$F$27,1))</f>
        <v>0.009976</v>
      </c>
      <c r="AI27" s="35" t="str">
        <f aca="false">IF(AQ27=0,"—",IF(AH27&gt;='Perfil e pressupostos'!$F$30,"Boa",IF(AH27&gt;='Perfil e pressupostos'!$F$31,"Média","Baixa")))</f>
        <v>Baixa</v>
      </c>
      <c r="AJ27" s="7" t="s">
        <v>439</v>
      </c>
      <c r="AK27" s="7" t="s">
        <v>215</v>
      </c>
      <c r="AL27" s="35" t="str">
        <f aca="false">IF(AK27="Prazo expirado","Prazo passado",IF(LEFT(AK27,11)="Monitorizar","Monitorizar",IF(Y27&gt;=3.5,"Prioridade",IF(Y27&gt;=3,"Candidatar (reach)","Reserva"))))</f>
        <v>Candidatar (reach)</v>
      </c>
      <c r="AM27" s="7" t="s">
        <v>440</v>
      </c>
      <c r="AN27" s="42" t="s">
        <v>441</v>
      </c>
      <c r="AO27" s="7" t="s">
        <v>187</v>
      </c>
      <c r="AP27" s="7" t="s">
        <v>218</v>
      </c>
      <c r="AQ27" s="7" t="n">
        <f aca="false">IF(OR(AK27="Prazo expirado",LEFT(AK27,11)="Monitorizar"),0,1)</f>
        <v>1</v>
      </c>
      <c r="AR27" s="41" t="n">
        <f aca="false">IF(AQ27=0,0,AH27)</f>
        <v>0.009976</v>
      </c>
      <c r="AS27" s="41" t="n">
        <f aca="false">AR27*W27/5</f>
        <v>0.0079808</v>
      </c>
      <c r="AT27" s="43" t="n">
        <f aca="false">AS27+W27/1000000+(1000-ROW())/1000000000</f>
        <v>0.007985773</v>
      </c>
      <c r="AU27" s="35" t="n">
        <f aca="false">RANK(AT27,$AT$4:$AT$227)</f>
        <v>149</v>
      </c>
      <c r="AV27" s="40" t="n">
        <f aca="false">IF(AQ27=0,"",AF27)</f>
        <v>49.8</v>
      </c>
      <c r="AW27" s="41" t="n">
        <f aca="false">IF(AQ27=0,"",AH27)</f>
        <v>0.009976</v>
      </c>
    </row>
    <row r="28" customFormat="false" ht="57" hidden="false" customHeight="true" outlineLevel="0" collapsed="false">
      <c r="A28" s="35" t="n">
        <v>25</v>
      </c>
      <c r="B28" s="7" t="s">
        <v>430</v>
      </c>
      <c r="C28" s="7" t="s">
        <v>442</v>
      </c>
      <c r="D28" s="7" t="s">
        <v>191</v>
      </c>
      <c r="E28" s="7" t="s">
        <v>170</v>
      </c>
      <c r="F28" s="35" t="s">
        <v>81</v>
      </c>
      <c r="G28" s="7" t="s">
        <v>171</v>
      </c>
      <c r="H28" s="7" t="s">
        <v>172</v>
      </c>
      <c r="I28" s="7" t="s">
        <v>443</v>
      </c>
      <c r="J28" s="35" t="s">
        <v>207</v>
      </c>
      <c r="K28" s="7" t="s">
        <v>432</v>
      </c>
      <c r="L28" s="7" t="s">
        <v>222</v>
      </c>
      <c r="M28" s="7" t="s">
        <v>177</v>
      </c>
      <c r="N28" s="7" t="s">
        <v>215</v>
      </c>
      <c r="O28" s="7" t="s">
        <v>179</v>
      </c>
      <c r="P28" s="35" t="str">
        <f aca="true">IF(ISNUMBER(O28),O28-TODAY(),"")</f>
        <v/>
      </c>
      <c r="Q28" s="7" t="s">
        <v>179</v>
      </c>
      <c r="R28" s="36" t="n">
        <v>2800</v>
      </c>
      <c r="S28" s="36" t="n">
        <v>4000</v>
      </c>
      <c r="T28" s="37" t="n">
        <f aca="false">IF(R28="","",AVERAGE(R28,S28))</f>
        <v>3400</v>
      </c>
      <c r="U28" s="7" t="s">
        <v>444</v>
      </c>
      <c r="V28" s="38" t="s">
        <v>181</v>
      </c>
      <c r="W28" s="38" t="n">
        <v>4</v>
      </c>
      <c r="X28" s="38" t="n">
        <v>1.5</v>
      </c>
      <c r="Y28" s="35" t="n">
        <f aca="false">ROUND(0.6*W28+0.4*X28,1)</f>
        <v>3</v>
      </c>
      <c r="Z28" s="38" t="s">
        <v>182</v>
      </c>
      <c r="AA28" s="38" t="n">
        <v>1</v>
      </c>
      <c r="AB28" s="39" t="n">
        <f aca="false">1-AA28*(1-INDEX('Perfil e pressupostos'!$C$14:$C$20,MATCH(Z28,'Perfil e pressupostos'!$A$14:$A$20,0)))</f>
        <v>0.95</v>
      </c>
      <c r="AC28" s="38" t="n">
        <v>0.3</v>
      </c>
      <c r="AD28" s="38" t="n">
        <v>0.6</v>
      </c>
      <c r="AE28" s="38" t="n">
        <v>0.7</v>
      </c>
      <c r="AF28" s="40" t="n">
        <f aca="false">100*('Perfil e pressupostos'!$F$14*AB28+'Perfil e pressupostos'!$F$15*AC28+'Perfil e pressupostos'!$F$16*AD28+'Perfil e pressupostos'!$F$17*AE28)/'Perfil e pressupostos'!$F$18</f>
        <v>63</v>
      </c>
      <c r="AG28" s="41" t="n">
        <f aca="false">INDEX('Perfil e pressupostos'!$B$25:$B$28,MATCH(V28,'Perfil e pressupostos'!$A$25:$A$28,0))</f>
        <v>0.01</v>
      </c>
      <c r="AH28" s="41" t="n">
        <f aca="false">MIN('Perfil e pressupostos'!$F$29,AG28*('Perfil e pressupostos'!$F$25+'Perfil e pressupostos'!$F$26*AF28/100)*IF(AD28&lt;='Perfil e pressupostos'!$F$28,'Perfil e pressupostos'!$F$27,1))</f>
        <v>0.01156</v>
      </c>
      <c r="AI28" s="35" t="str">
        <f aca="false">IF(AQ28=0,"—",IF(AH28&gt;='Perfil e pressupostos'!$F$30,"Boa",IF(AH28&gt;='Perfil e pressupostos'!$F$31,"Média","Baixa")))</f>
        <v>Baixa</v>
      </c>
      <c r="AJ28" s="7" t="s">
        <v>445</v>
      </c>
      <c r="AK28" s="7" t="s">
        <v>215</v>
      </c>
      <c r="AL28" s="35" t="str">
        <f aca="false">IF(AK28="Prazo expirado","Prazo passado",IF(LEFT(AK28,11)="Monitorizar","Monitorizar",IF(Y28&gt;=3.5,"Prioridade",IF(Y28&gt;=3,"Candidatar (reach)","Reserva"))))</f>
        <v>Candidatar (reach)</v>
      </c>
      <c r="AM28" s="7" t="s">
        <v>440</v>
      </c>
      <c r="AN28" s="42" t="s">
        <v>446</v>
      </c>
      <c r="AO28" s="7" t="s">
        <v>187</v>
      </c>
      <c r="AP28" s="7" t="s">
        <v>218</v>
      </c>
      <c r="AQ28" s="7" t="n">
        <f aca="false">IF(OR(AK28="Prazo expirado",LEFT(AK28,11)="Monitorizar"),0,1)</f>
        <v>1</v>
      </c>
      <c r="AR28" s="41" t="n">
        <f aca="false">IF(AQ28=0,0,AH28)</f>
        <v>0.01156</v>
      </c>
      <c r="AS28" s="41" t="n">
        <f aca="false">AR28*W28/5</f>
        <v>0.009248</v>
      </c>
      <c r="AT28" s="43" t="n">
        <f aca="false">AS28+W28/1000000+(1000-ROW())/1000000000</f>
        <v>0.009252972</v>
      </c>
      <c r="AU28" s="35" t="n">
        <f aca="false">RANK(AT28,$AT$4:$AT$227)</f>
        <v>120</v>
      </c>
      <c r="AV28" s="40" t="n">
        <f aca="false">IF(AQ28=0,"",AF28)</f>
        <v>63</v>
      </c>
      <c r="AW28" s="41" t="n">
        <f aca="false">IF(AQ28=0,"",AH28)</f>
        <v>0.01156</v>
      </c>
    </row>
    <row r="29" customFormat="false" ht="33.75" hidden="false" customHeight="true" outlineLevel="0" collapsed="false">
      <c r="A29" s="35" t="n">
        <v>26</v>
      </c>
      <c r="B29" s="7" t="s">
        <v>447</v>
      </c>
      <c r="C29" s="7" t="s">
        <v>448</v>
      </c>
      <c r="D29" s="7" t="s">
        <v>191</v>
      </c>
      <c r="E29" s="7" t="s">
        <v>310</v>
      </c>
      <c r="F29" s="35" t="s">
        <v>85</v>
      </c>
      <c r="G29" s="7" t="s">
        <v>205</v>
      </c>
      <c r="H29" s="7" t="s">
        <v>172</v>
      </c>
      <c r="I29" s="7" t="s">
        <v>449</v>
      </c>
      <c r="J29" s="35" t="s">
        <v>450</v>
      </c>
      <c r="K29" s="7" t="s">
        <v>451</v>
      </c>
      <c r="L29" s="7" t="s">
        <v>452</v>
      </c>
      <c r="M29" s="7" t="s">
        <v>210</v>
      </c>
      <c r="N29" s="7" t="s">
        <v>215</v>
      </c>
      <c r="O29" s="7" t="s">
        <v>179</v>
      </c>
      <c r="P29" s="35" t="str">
        <f aca="true">IF(ISNUMBER(O29),O29-TODAY(),"")</f>
        <v/>
      </c>
      <c r="Q29" s="7" t="s">
        <v>179</v>
      </c>
      <c r="R29" s="36" t="n">
        <v>1500</v>
      </c>
      <c r="S29" s="36" t="n">
        <v>2500</v>
      </c>
      <c r="T29" s="37" t="n">
        <f aca="false">IF(R29="","",AVERAGE(R29,S29))</f>
        <v>2000</v>
      </c>
      <c r="U29" s="7" t="s">
        <v>401</v>
      </c>
      <c r="V29" s="38" t="s">
        <v>181</v>
      </c>
      <c r="W29" s="38" t="n">
        <v>4</v>
      </c>
      <c r="X29" s="38" t="n">
        <v>1</v>
      </c>
      <c r="Y29" s="35" t="n">
        <f aca="false">ROUND(0.6*W29+0.4*X29,1)</f>
        <v>2.8</v>
      </c>
      <c r="Z29" s="38" t="s">
        <v>213</v>
      </c>
      <c r="AA29" s="38" t="n">
        <v>0.5</v>
      </c>
      <c r="AB29" s="39" t="n">
        <f aca="false">1-AA29*(1-INDEX('Perfil e pressupostos'!$C$14:$C$20,MATCH(Z29,'Perfil e pressupostos'!$A$14:$A$20,0)))</f>
        <v>0.525</v>
      </c>
      <c r="AC29" s="38" t="n">
        <v>0.3</v>
      </c>
      <c r="AD29" s="38" t="n">
        <v>0.4</v>
      </c>
      <c r="AE29" s="38" t="n">
        <v>0.7</v>
      </c>
      <c r="AF29" s="40" t="n">
        <f aca="false">100*('Perfil e pressupostos'!$F$14*AB29+'Perfil e pressupostos'!$F$15*AC29+'Perfil e pressupostos'!$F$16*AD29+'Perfil e pressupostos'!$F$17*AE29)/'Perfil e pressupostos'!$F$18</f>
        <v>45.25</v>
      </c>
      <c r="AG29" s="41" t="n">
        <f aca="false">INDEX('Perfil e pressupostos'!$B$25:$B$28,MATCH(V29,'Perfil e pressupostos'!$A$25:$A$28,0))</f>
        <v>0.01</v>
      </c>
      <c r="AH29" s="41" t="n">
        <f aca="false">MIN('Perfil e pressupostos'!$F$29,AG29*('Perfil e pressupostos'!$F$25+'Perfil e pressupostos'!$F$26*AF29/100)*IF(AD29&lt;='Perfil e pressupostos'!$F$28,'Perfil e pressupostos'!$F$27,1))</f>
        <v>0.00943</v>
      </c>
      <c r="AI29" s="35" t="str">
        <f aca="false">IF(AQ29=0,"—",IF(AH29&gt;='Perfil e pressupostos'!$F$30,"Boa",IF(AH29&gt;='Perfil e pressupostos'!$F$31,"Média","Baixa")))</f>
        <v>Baixa</v>
      </c>
      <c r="AJ29" s="7" t="s">
        <v>453</v>
      </c>
      <c r="AK29" s="7" t="s">
        <v>215</v>
      </c>
      <c r="AL29" s="35" t="str">
        <f aca="false">IF(AK29="Prazo expirado","Prazo passado",IF(LEFT(AK29,11)="Monitorizar","Monitorizar",IF(Y29&gt;=3.5,"Prioridade",IF(Y29&gt;=3,"Candidatar (reach)","Reserva"))))</f>
        <v>Reserva</v>
      </c>
      <c r="AM29" s="7" t="s">
        <v>454</v>
      </c>
      <c r="AN29" s="42" t="s">
        <v>455</v>
      </c>
      <c r="AO29" s="7" t="s">
        <v>187</v>
      </c>
      <c r="AP29" s="7" t="s">
        <v>218</v>
      </c>
      <c r="AQ29" s="7" t="n">
        <f aca="false">IF(OR(AK29="Prazo expirado",LEFT(AK29,11)="Monitorizar"),0,1)</f>
        <v>1</v>
      </c>
      <c r="AR29" s="41" t="n">
        <f aca="false">IF(AQ29=0,0,AH29)</f>
        <v>0.00943</v>
      </c>
      <c r="AS29" s="41" t="n">
        <f aca="false">AR29*W29/5</f>
        <v>0.007544</v>
      </c>
      <c r="AT29" s="43" t="n">
        <f aca="false">AS29+W29/1000000+(1000-ROW())/1000000000</f>
        <v>0.007548971</v>
      </c>
      <c r="AU29" s="35" t="n">
        <f aca="false">RANK(AT29,$AT$4:$AT$227)</f>
        <v>169</v>
      </c>
      <c r="AV29" s="40" t="n">
        <f aca="false">IF(AQ29=0,"",AF29)</f>
        <v>45.25</v>
      </c>
      <c r="AW29" s="41" t="n">
        <f aca="false">IF(AQ29=0,"",AH29)</f>
        <v>0.00943</v>
      </c>
    </row>
    <row r="30" customFormat="false" ht="33.75" hidden="false" customHeight="true" outlineLevel="0" collapsed="false">
      <c r="A30" s="35" t="n">
        <v>27</v>
      </c>
      <c r="B30" s="7" t="s">
        <v>447</v>
      </c>
      <c r="C30" s="7" t="s">
        <v>456</v>
      </c>
      <c r="D30" s="7" t="s">
        <v>191</v>
      </c>
      <c r="E30" s="7" t="s">
        <v>310</v>
      </c>
      <c r="F30" s="35" t="s">
        <v>87</v>
      </c>
      <c r="G30" s="7" t="s">
        <v>457</v>
      </c>
      <c r="H30" s="7" t="s">
        <v>172</v>
      </c>
      <c r="I30" s="7" t="s">
        <v>449</v>
      </c>
      <c r="J30" s="35" t="s">
        <v>450</v>
      </c>
      <c r="K30" s="7" t="s">
        <v>451</v>
      </c>
      <c r="L30" s="7" t="s">
        <v>222</v>
      </c>
      <c r="M30" s="7" t="s">
        <v>458</v>
      </c>
      <c r="N30" s="7" t="s">
        <v>215</v>
      </c>
      <c r="O30" s="7" t="s">
        <v>179</v>
      </c>
      <c r="P30" s="35" t="str">
        <f aca="true">IF(ISNUMBER(O30),O30-TODAY(),"")</f>
        <v/>
      </c>
      <c r="Q30" s="7" t="s">
        <v>179</v>
      </c>
      <c r="R30" s="36" t="n">
        <v>1800</v>
      </c>
      <c r="S30" s="36" t="n">
        <v>2500</v>
      </c>
      <c r="T30" s="37" t="n">
        <f aca="false">IF(R30="","",AVERAGE(R30,S30))</f>
        <v>2150</v>
      </c>
      <c r="U30" s="7" t="s">
        <v>459</v>
      </c>
      <c r="V30" s="38" t="s">
        <v>181</v>
      </c>
      <c r="W30" s="38" t="n">
        <v>4</v>
      </c>
      <c r="X30" s="38" t="n">
        <v>1</v>
      </c>
      <c r="Y30" s="35" t="n">
        <f aca="false">ROUND(0.6*W30+0.4*X30,1)</f>
        <v>2.8</v>
      </c>
      <c r="Z30" s="38" t="s">
        <v>304</v>
      </c>
      <c r="AA30" s="38" t="n">
        <v>0.5</v>
      </c>
      <c r="AB30" s="39" t="n">
        <f aca="false">1-AA30*(1-INDEX('Perfil e pressupostos'!$C$14:$C$20,MATCH(Z30,'Perfil e pressupostos'!$A$14:$A$20,0)))</f>
        <v>0.525</v>
      </c>
      <c r="AC30" s="38" t="n">
        <v>0.3</v>
      </c>
      <c r="AD30" s="38" t="n">
        <v>0.4</v>
      </c>
      <c r="AE30" s="38" t="n">
        <v>0.7</v>
      </c>
      <c r="AF30" s="40" t="n">
        <f aca="false">100*('Perfil e pressupostos'!$F$14*AB30+'Perfil e pressupostos'!$F$15*AC30+'Perfil e pressupostos'!$F$16*AD30+'Perfil e pressupostos'!$F$17*AE30)/'Perfil e pressupostos'!$F$18</f>
        <v>45.25</v>
      </c>
      <c r="AG30" s="41" t="n">
        <f aca="false">INDEX('Perfil e pressupostos'!$B$25:$B$28,MATCH(V30,'Perfil e pressupostos'!$A$25:$A$28,0))</f>
        <v>0.01</v>
      </c>
      <c r="AH30" s="41" t="n">
        <f aca="false">MIN('Perfil e pressupostos'!$F$29,AG30*('Perfil e pressupostos'!$F$25+'Perfil e pressupostos'!$F$26*AF30/100)*IF(AD30&lt;='Perfil e pressupostos'!$F$28,'Perfil e pressupostos'!$F$27,1))</f>
        <v>0.00943</v>
      </c>
      <c r="AI30" s="35" t="str">
        <f aca="false">IF(AQ30=0,"—",IF(AH30&gt;='Perfil e pressupostos'!$F$30,"Boa",IF(AH30&gt;='Perfil e pressupostos'!$F$31,"Média","Baixa")))</f>
        <v>Baixa</v>
      </c>
      <c r="AJ30" s="7" t="s">
        <v>460</v>
      </c>
      <c r="AK30" s="7" t="s">
        <v>215</v>
      </c>
      <c r="AL30" s="35" t="str">
        <f aca="false">IF(AK30="Prazo expirado","Prazo passado",IF(LEFT(AK30,11)="Monitorizar","Monitorizar",IF(Y30&gt;=3.5,"Prioridade",IF(Y30&gt;=3,"Candidatar (reach)","Reserva"))))</f>
        <v>Reserva</v>
      </c>
      <c r="AM30" s="7" t="s">
        <v>461</v>
      </c>
      <c r="AN30" s="42" t="s">
        <v>462</v>
      </c>
      <c r="AO30" s="7" t="s">
        <v>187</v>
      </c>
      <c r="AP30" s="7" t="s">
        <v>218</v>
      </c>
      <c r="AQ30" s="7" t="n">
        <f aca="false">IF(OR(AK30="Prazo expirado",LEFT(AK30,11)="Monitorizar"),0,1)</f>
        <v>1</v>
      </c>
      <c r="AR30" s="41" t="n">
        <f aca="false">IF(AQ30=0,0,AH30)</f>
        <v>0.00943</v>
      </c>
      <c r="AS30" s="41" t="n">
        <f aca="false">AR30*W30/5</f>
        <v>0.007544</v>
      </c>
      <c r="AT30" s="43" t="n">
        <f aca="false">AS30+W30/1000000+(1000-ROW())/1000000000</f>
        <v>0.00754897</v>
      </c>
      <c r="AU30" s="35" t="n">
        <f aca="false">RANK(AT30,$AT$4:$AT$227)</f>
        <v>170</v>
      </c>
      <c r="AV30" s="40" t="n">
        <f aca="false">IF(AQ30=0,"",AF30)</f>
        <v>45.25</v>
      </c>
      <c r="AW30" s="41" t="n">
        <f aca="false">IF(AQ30=0,"",AH30)</f>
        <v>0.00943</v>
      </c>
    </row>
    <row r="31" customFormat="false" ht="33.75" hidden="false" customHeight="true" outlineLevel="0" collapsed="false">
      <c r="A31" s="35" t="n">
        <v>28</v>
      </c>
      <c r="B31" s="7" t="s">
        <v>463</v>
      </c>
      <c r="C31" s="7" t="s">
        <v>464</v>
      </c>
      <c r="D31" s="7" t="s">
        <v>169</v>
      </c>
      <c r="E31" s="7" t="s">
        <v>230</v>
      </c>
      <c r="F31" s="35" t="s">
        <v>85</v>
      </c>
      <c r="G31" s="7" t="s">
        <v>205</v>
      </c>
      <c r="H31" s="7" t="s">
        <v>172</v>
      </c>
      <c r="I31" s="7" t="s">
        <v>465</v>
      </c>
      <c r="J31" s="35" t="s">
        <v>207</v>
      </c>
      <c r="K31" s="7" t="s">
        <v>466</v>
      </c>
      <c r="L31" s="7" t="s">
        <v>452</v>
      </c>
      <c r="M31" s="7" t="s">
        <v>467</v>
      </c>
      <c r="N31" s="7" t="s">
        <v>215</v>
      </c>
      <c r="O31" s="7" t="s">
        <v>179</v>
      </c>
      <c r="P31" s="35" t="str">
        <f aca="true">IF(ISNUMBER(O31),O31-TODAY(),"")</f>
        <v/>
      </c>
      <c r="Q31" s="7" t="s">
        <v>179</v>
      </c>
      <c r="R31" s="36" t="n">
        <v>1800</v>
      </c>
      <c r="S31" s="36" t="n">
        <v>2800</v>
      </c>
      <c r="T31" s="37" t="n">
        <f aca="false">IF(R31="","",AVERAGE(R31,S31))</f>
        <v>2300</v>
      </c>
      <c r="U31" s="7" t="s">
        <v>401</v>
      </c>
      <c r="V31" s="38" t="s">
        <v>181</v>
      </c>
      <c r="W31" s="38" t="n">
        <v>5</v>
      </c>
      <c r="X31" s="38" t="n">
        <v>1</v>
      </c>
      <c r="Y31" s="35" t="n">
        <f aca="false">ROUND(0.6*W31+0.4*X31,1)</f>
        <v>3.4</v>
      </c>
      <c r="Z31" s="38" t="s">
        <v>213</v>
      </c>
      <c r="AA31" s="38" t="n">
        <v>0.4</v>
      </c>
      <c r="AB31" s="39" t="n">
        <f aca="false">1-AA31*(1-INDEX('Perfil e pressupostos'!$C$14:$C$20,MATCH(Z31,'Perfil e pressupostos'!$A$14:$A$20,0)))</f>
        <v>0.62</v>
      </c>
      <c r="AC31" s="38" t="n">
        <v>0.2</v>
      </c>
      <c r="AD31" s="38" t="n">
        <v>0.5</v>
      </c>
      <c r="AE31" s="38" t="n">
        <v>0.7</v>
      </c>
      <c r="AF31" s="40" t="n">
        <f aca="false">100*('Perfil e pressupostos'!$F$14*AB31+'Perfil e pressupostos'!$F$15*AC31+'Perfil e pressupostos'!$F$16*AD31+'Perfil e pressupostos'!$F$17*AE31)/'Perfil e pressupostos'!$F$18</f>
        <v>47.6</v>
      </c>
      <c r="AG31" s="41" t="n">
        <f aca="false">INDEX('Perfil e pressupostos'!$B$25:$B$28,MATCH(V31,'Perfil e pressupostos'!$A$25:$A$28,0))</f>
        <v>0.01</v>
      </c>
      <c r="AH31" s="41" t="n">
        <f aca="false">MIN('Perfil e pressupostos'!$F$29,AG31*('Perfil e pressupostos'!$F$25+'Perfil e pressupostos'!$F$26*AF31/100)*IF(AD31&lt;='Perfil e pressupostos'!$F$28,'Perfil e pressupostos'!$F$27,1))</f>
        <v>0.009712</v>
      </c>
      <c r="AI31" s="35" t="str">
        <f aca="false">IF(AQ31=0,"—",IF(AH31&gt;='Perfil e pressupostos'!$F$30,"Boa",IF(AH31&gt;='Perfil e pressupostos'!$F$31,"Média","Baixa")))</f>
        <v>Baixa</v>
      </c>
      <c r="AJ31" s="7" t="s">
        <v>468</v>
      </c>
      <c r="AK31" s="7" t="s">
        <v>215</v>
      </c>
      <c r="AL31" s="35" t="str">
        <f aca="false">IF(AK31="Prazo expirado","Prazo passado",IF(LEFT(AK31,11)="Monitorizar","Monitorizar",IF(Y31&gt;=3.5,"Prioridade",IF(Y31&gt;=3,"Candidatar (reach)","Reserva"))))</f>
        <v>Candidatar (reach)</v>
      </c>
      <c r="AM31" s="7" t="s">
        <v>469</v>
      </c>
      <c r="AN31" s="42" t="s">
        <v>470</v>
      </c>
      <c r="AO31" s="7" t="s">
        <v>295</v>
      </c>
      <c r="AP31" s="7" t="s">
        <v>218</v>
      </c>
      <c r="AQ31" s="7" t="n">
        <f aca="false">IF(OR(AK31="Prazo expirado",LEFT(AK31,11)="Monitorizar"),0,1)</f>
        <v>1</v>
      </c>
      <c r="AR31" s="41" t="n">
        <f aca="false">IF(AQ31=0,0,AH31)</f>
        <v>0.009712</v>
      </c>
      <c r="AS31" s="41" t="n">
        <f aca="false">AR31*W31/5</f>
        <v>0.009712</v>
      </c>
      <c r="AT31" s="43" t="n">
        <f aca="false">AS31+W31/1000000+(1000-ROW())/1000000000</f>
        <v>0.009717969</v>
      </c>
      <c r="AU31" s="35" t="n">
        <f aca="false">RANK(AT31,$AT$4:$AT$227)</f>
        <v>117</v>
      </c>
      <c r="AV31" s="40" t="n">
        <f aca="false">IF(AQ31=0,"",AF31)</f>
        <v>47.6</v>
      </c>
      <c r="AW31" s="41" t="n">
        <f aca="false">IF(AQ31=0,"",AH31)</f>
        <v>0.009712</v>
      </c>
    </row>
    <row r="32" customFormat="false" ht="33.75" hidden="false" customHeight="true" outlineLevel="0" collapsed="false">
      <c r="A32" s="35" t="n">
        <v>29</v>
      </c>
      <c r="B32" s="7" t="s">
        <v>463</v>
      </c>
      <c r="C32" s="7" t="s">
        <v>471</v>
      </c>
      <c r="D32" s="7" t="s">
        <v>169</v>
      </c>
      <c r="E32" s="7" t="s">
        <v>230</v>
      </c>
      <c r="F32" s="35" t="s">
        <v>87</v>
      </c>
      <c r="G32" s="7" t="s">
        <v>457</v>
      </c>
      <c r="H32" s="7" t="s">
        <v>172</v>
      </c>
      <c r="I32" s="7" t="s">
        <v>465</v>
      </c>
      <c r="J32" s="35" t="s">
        <v>207</v>
      </c>
      <c r="K32" s="7" t="s">
        <v>466</v>
      </c>
      <c r="L32" s="7" t="s">
        <v>222</v>
      </c>
      <c r="M32" s="7" t="s">
        <v>458</v>
      </c>
      <c r="N32" s="7" t="s">
        <v>215</v>
      </c>
      <c r="O32" s="7" t="s">
        <v>179</v>
      </c>
      <c r="P32" s="35" t="str">
        <f aca="true">IF(ISNUMBER(O32),O32-TODAY(),"")</f>
        <v/>
      </c>
      <c r="Q32" s="7" t="s">
        <v>179</v>
      </c>
      <c r="R32" s="36" t="n">
        <v>1800</v>
      </c>
      <c r="S32" s="36" t="n">
        <v>2800</v>
      </c>
      <c r="T32" s="37" t="n">
        <f aca="false">IF(R32="","",AVERAGE(R32,S32))</f>
        <v>2300</v>
      </c>
      <c r="U32" s="7" t="s">
        <v>459</v>
      </c>
      <c r="V32" s="38" t="s">
        <v>181</v>
      </c>
      <c r="W32" s="38" t="n">
        <v>5</v>
      </c>
      <c r="X32" s="38" t="n">
        <v>1</v>
      </c>
      <c r="Y32" s="35" t="n">
        <f aca="false">ROUND(0.6*W32+0.4*X32,1)</f>
        <v>3.4</v>
      </c>
      <c r="Z32" s="38" t="s">
        <v>304</v>
      </c>
      <c r="AA32" s="38" t="n">
        <v>0.4</v>
      </c>
      <c r="AB32" s="39" t="n">
        <f aca="false">1-AA32*(1-INDEX('Perfil e pressupostos'!$C$14:$C$20,MATCH(Z32,'Perfil e pressupostos'!$A$14:$A$20,0)))</f>
        <v>0.62</v>
      </c>
      <c r="AC32" s="38" t="n">
        <v>0.2</v>
      </c>
      <c r="AD32" s="38" t="n">
        <v>0.5</v>
      </c>
      <c r="AE32" s="38" t="n">
        <v>0.7</v>
      </c>
      <c r="AF32" s="40" t="n">
        <f aca="false">100*('Perfil e pressupostos'!$F$14*AB32+'Perfil e pressupostos'!$F$15*AC32+'Perfil e pressupostos'!$F$16*AD32+'Perfil e pressupostos'!$F$17*AE32)/'Perfil e pressupostos'!$F$18</f>
        <v>47.6</v>
      </c>
      <c r="AG32" s="41" t="n">
        <f aca="false">INDEX('Perfil e pressupostos'!$B$25:$B$28,MATCH(V32,'Perfil e pressupostos'!$A$25:$A$28,0))</f>
        <v>0.01</v>
      </c>
      <c r="AH32" s="41" t="n">
        <f aca="false">MIN('Perfil e pressupostos'!$F$29,AG32*('Perfil e pressupostos'!$F$25+'Perfil e pressupostos'!$F$26*AF32/100)*IF(AD32&lt;='Perfil e pressupostos'!$F$28,'Perfil e pressupostos'!$F$27,1))</f>
        <v>0.009712</v>
      </c>
      <c r="AI32" s="35" t="str">
        <f aca="false">IF(AQ32=0,"—",IF(AH32&gt;='Perfil e pressupostos'!$F$30,"Boa",IF(AH32&gt;='Perfil e pressupostos'!$F$31,"Média","Baixa")))</f>
        <v>Baixa</v>
      </c>
      <c r="AJ32" s="7" t="s">
        <v>472</v>
      </c>
      <c r="AK32" s="7" t="s">
        <v>215</v>
      </c>
      <c r="AL32" s="35" t="str">
        <f aca="false">IF(AK32="Prazo expirado","Prazo passado",IF(LEFT(AK32,11)="Monitorizar","Monitorizar",IF(Y32&gt;=3.5,"Prioridade",IF(Y32&gt;=3,"Candidatar (reach)","Reserva"))))</f>
        <v>Candidatar (reach)</v>
      </c>
      <c r="AM32" s="7" t="s">
        <v>469</v>
      </c>
      <c r="AN32" s="42" t="s">
        <v>473</v>
      </c>
      <c r="AO32" s="7" t="s">
        <v>295</v>
      </c>
      <c r="AP32" s="7" t="s">
        <v>218</v>
      </c>
      <c r="AQ32" s="7" t="n">
        <f aca="false">IF(OR(AK32="Prazo expirado",LEFT(AK32,11)="Monitorizar"),0,1)</f>
        <v>1</v>
      </c>
      <c r="AR32" s="41" t="n">
        <f aca="false">IF(AQ32=0,0,AH32)</f>
        <v>0.009712</v>
      </c>
      <c r="AS32" s="41" t="n">
        <f aca="false">AR32*W32/5</f>
        <v>0.009712</v>
      </c>
      <c r="AT32" s="43" t="n">
        <f aca="false">AS32+W32/1000000+(1000-ROW())/1000000000</f>
        <v>0.009717968</v>
      </c>
      <c r="AU32" s="35" t="n">
        <f aca="false">RANK(AT32,$AT$4:$AT$227)</f>
        <v>118</v>
      </c>
      <c r="AV32" s="40" t="n">
        <f aca="false">IF(AQ32=0,"",AF32)</f>
        <v>47.6</v>
      </c>
      <c r="AW32" s="41" t="n">
        <f aca="false">IF(AQ32=0,"",AH32)</f>
        <v>0.009712</v>
      </c>
    </row>
    <row r="33" customFormat="false" ht="33.75" hidden="false" customHeight="true" outlineLevel="0" collapsed="false">
      <c r="A33" s="35" t="n">
        <v>30</v>
      </c>
      <c r="B33" s="7" t="s">
        <v>474</v>
      </c>
      <c r="C33" s="7" t="s">
        <v>475</v>
      </c>
      <c r="D33" s="7" t="s">
        <v>191</v>
      </c>
      <c r="E33" s="7" t="s">
        <v>310</v>
      </c>
      <c r="F33" s="35" t="s">
        <v>93</v>
      </c>
      <c r="G33" s="7" t="s">
        <v>476</v>
      </c>
      <c r="H33" s="7" t="s">
        <v>172</v>
      </c>
      <c r="I33" s="7" t="s">
        <v>465</v>
      </c>
      <c r="J33" s="35" t="s">
        <v>207</v>
      </c>
      <c r="K33" s="7" t="s">
        <v>477</v>
      </c>
      <c r="L33" s="7" t="s">
        <v>222</v>
      </c>
      <c r="M33" s="7" t="s">
        <v>177</v>
      </c>
      <c r="N33" s="7" t="s">
        <v>215</v>
      </c>
      <c r="O33" s="44" t="n">
        <v>46333</v>
      </c>
      <c r="P33" s="35" t="n">
        <f aca="true">IF(ISNUMBER(O33),O33-TODAY(),"")</f>
        <v>21</v>
      </c>
      <c r="Q33" s="7" t="s">
        <v>179</v>
      </c>
      <c r="R33" s="36" t="n">
        <v>2000</v>
      </c>
      <c r="S33" s="36" t="n">
        <v>3000</v>
      </c>
      <c r="T33" s="37" t="n">
        <f aca="false">IF(R33="","",AVERAGE(R33,S33))</f>
        <v>2500</v>
      </c>
      <c r="U33" s="7" t="s">
        <v>478</v>
      </c>
      <c r="V33" s="38" t="s">
        <v>181</v>
      </c>
      <c r="W33" s="38" t="n">
        <v>4</v>
      </c>
      <c r="X33" s="38" t="n">
        <v>1.5</v>
      </c>
      <c r="Y33" s="35" t="n">
        <f aca="false">ROUND(0.6*W33+0.4*X33,1)</f>
        <v>3</v>
      </c>
      <c r="Z33" s="38" t="s">
        <v>182</v>
      </c>
      <c r="AA33" s="38" t="n">
        <v>1</v>
      </c>
      <c r="AB33" s="39" t="n">
        <f aca="false">1-AA33*(1-INDEX('Perfil e pressupostos'!$C$14:$C$20,MATCH(Z33,'Perfil e pressupostos'!$A$14:$A$20,0)))</f>
        <v>0.95</v>
      </c>
      <c r="AC33" s="38" t="n">
        <v>0.3</v>
      </c>
      <c r="AD33" s="38" t="n">
        <v>0.6</v>
      </c>
      <c r="AE33" s="38" t="n">
        <v>0.7</v>
      </c>
      <c r="AF33" s="40" t="n">
        <f aca="false">100*('Perfil e pressupostos'!$F$14*AB33+'Perfil e pressupostos'!$F$15*AC33+'Perfil e pressupostos'!$F$16*AD33+'Perfil e pressupostos'!$F$17*AE33)/'Perfil e pressupostos'!$F$18</f>
        <v>63</v>
      </c>
      <c r="AG33" s="41" t="n">
        <f aca="false">INDEX('Perfil e pressupostos'!$B$25:$B$28,MATCH(V33,'Perfil e pressupostos'!$A$25:$A$28,0))</f>
        <v>0.01</v>
      </c>
      <c r="AH33" s="41" t="n">
        <f aca="false">MIN('Perfil e pressupostos'!$F$29,AG33*('Perfil e pressupostos'!$F$25+'Perfil e pressupostos'!$F$26*AF33/100)*IF(AD33&lt;='Perfil e pressupostos'!$F$28,'Perfil e pressupostos'!$F$27,1))</f>
        <v>0.01156</v>
      </c>
      <c r="AI33" s="35" t="str">
        <f aca="false">IF(AQ33=0,"—",IF(AH33&gt;='Perfil e pressupostos'!$F$30,"Boa",IF(AH33&gt;='Perfil e pressupostos'!$F$31,"Média","Baixa")))</f>
        <v>Baixa</v>
      </c>
      <c r="AJ33" s="7" t="s">
        <v>445</v>
      </c>
      <c r="AK33" s="7" t="s">
        <v>306</v>
      </c>
      <c r="AL33" s="35" t="str">
        <f aca="false">IF(AK33="Prazo expirado","Prazo passado",IF(LEFT(AK33,11)="Monitorizar","Monitorizar",IF(Y33&gt;=3.5,"Prioridade",IF(Y33&gt;=3,"Candidatar (reach)","Reserva"))))</f>
        <v>Candidatar (reach)</v>
      </c>
      <c r="AM33" s="7" t="s">
        <v>479</v>
      </c>
      <c r="AN33" s="42" t="s">
        <v>480</v>
      </c>
      <c r="AO33" s="7" t="s">
        <v>187</v>
      </c>
      <c r="AP33" s="7" t="s">
        <v>218</v>
      </c>
      <c r="AQ33" s="7" t="n">
        <f aca="false">IF(OR(AK33="Prazo expirado",LEFT(AK33,11)="Monitorizar"),0,1)</f>
        <v>1</v>
      </c>
      <c r="AR33" s="41" t="n">
        <f aca="false">IF(AQ33=0,0,AH33)</f>
        <v>0.01156</v>
      </c>
      <c r="AS33" s="41" t="n">
        <f aca="false">AR33*W33/5</f>
        <v>0.009248</v>
      </c>
      <c r="AT33" s="43" t="n">
        <f aca="false">AS33+W33/1000000+(1000-ROW())/1000000000</f>
        <v>0.009252967</v>
      </c>
      <c r="AU33" s="35" t="n">
        <f aca="false">RANK(AT33,$AT$4:$AT$227)</f>
        <v>121</v>
      </c>
      <c r="AV33" s="40" t="n">
        <f aca="false">IF(AQ33=0,"",AF33)</f>
        <v>63</v>
      </c>
      <c r="AW33" s="41" t="n">
        <f aca="false">IF(AQ33=0,"",AH33)</f>
        <v>0.01156</v>
      </c>
    </row>
    <row r="34" customFormat="false" ht="33.75" hidden="false" customHeight="true" outlineLevel="0" collapsed="false">
      <c r="A34" s="35" t="n">
        <v>31</v>
      </c>
      <c r="B34" s="7" t="s">
        <v>481</v>
      </c>
      <c r="C34" s="7" t="s">
        <v>482</v>
      </c>
      <c r="D34" s="7" t="s">
        <v>169</v>
      </c>
      <c r="E34" s="7" t="s">
        <v>230</v>
      </c>
      <c r="F34" s="35" t="s">
        <v>85</v>
      </c>
      <c r="G34" s="7" t="s">
        <v>205</v>
      </c>
      <c r="H34" s="7" t="s">
        <v>172</v>
      </c>
      <c r="I34" s="7" t="s">
        <v>220</v>
      </c>
      <c r="J34" s="35" t="s">
        <v>174</v>
      </c>
      <c r="K34" s="7" t="s">
        <v>483</v>
      </c>
      <c r="L34" s="7" t="s">
        <v>378</v>
      </c>
      <c r="M34" s="7" t="s">
        <v>210</v>
      </c>
      <c r="N34" s="7" t="s">
        <v>215</v>
      </c>
      <c r="O34" s="7" t="s">
        <v>179</v>
      </c>
      <c r="P34" s="35" t="str">
        <f aca="true">IF(ISNUMBER(O34),O34-TODAY(),"")</f>
        <v/>
      </c>
      <c r="Q34" s="7" t="s">
        <v>179</v>
      </c>
      <c r="R34" s="36" t="n">
        <v>1500</v>
      </c>
      <c r="S34" s="36" t="n">
        <v>2500</v>
      </c>
      <c r="T34" s="37" t="n">
        <f aca="false">IF(R34="","",AVERAGE(R34,S34))</f>
        <v>2000</v>
      </c>
      <c r="U34" s="7" t="s">
        <v>401</v>
      </c>
      <c r="V34" s="38" t="s">
        <v>181</v>
      </c>
      <c r="W34" s="38" t="n">
        <v>5</v>
      </c>
      <c r="X34" s="38" t="n">
        <v>1</v>
      </c>
      <c r="Y34" s="35" t="n">
        <f aca="false">ROUND(0.6*W34+0.4*X34,1)</f>
        <v>3.4</v>
      </c>
      <c r="Z34" s="38" t="s">
        <v>213</v>
      </c>
      <c r="AA34" s="38" t="n">
        <v>0.6</v>
      </c>
      <c r="AB34" s="39" t="n">
        <f aca="false">1-AA34*(1-INDEX('Perfil e pressupostos'!$C$14:$C$20,MATCH(Z34,'Perfil e pressupostos'!$A$14:$A$20,0)))</f>
        <v>0.43</v>
      </c>
      <c r="AC34" s="38" t="n">
        <v>0.3</v>
      </c>
      <c r="AD34" s="38" t="n">
        <v>0.4</v>
      </c>
      <c r="AE34" s="38" t="n">
        <v>0.7</v>
      </c>
      <c r="AF34" s="40" t="n">
        <f aca="false">100*('Perfil e pressupostos'!$F$14*AB34+'Perfil e pressupostos'!$F$15*AC34+'Perfil e pressupostos'!$F$16*AD34+'Perfil e pressupostos'!$F$17*AE34)/'Perfil e pressupostos'!$F$18</f>
        <v>42.4</v>
      </c>
      <c r="AG34" s="41" t="n">
        <f aca="false">INDEX('Perfil e pressupostos'!$B$25:$B$28,MATCH(V34,'Perfil e pressupostos'!$A$25:$A$28,0))</f>
        <v>0.01</v>
      </c>
      <c r="AH34" s="41" t="n">
        <f aca="false">MIN('Perfil e pressupostos'!$F$29,AG34*('Perfil e pressupostos'!$F$25+'Perfil e pressupostos'!$F$26*AF34/100)*IF(AD34&lt;='Perfil e pressupostos'!$F$28,'Perfil e pressupostos'!$F$27,1))</f>
        <v>0.009088</v>
      </c>
      <c r="AI34" s="35" t="str">
        <f aca="false">IF(AQ34=0,"—",IF(AH34&gt;='Perfil e pressupostos'!$F$30,"Boa",IF(AH34&gt;='Perfil e pressupostos'!$F$31,"Média","Baixa")))</f>
        <v>Baixa</v>
      </c>
      <c r="AJ34" s="7" t="s">
        <v>214</v>
      </c>
      <c r="AK34" s="7" t="s">
        <v>215</v>
      </c>
      <c r="AL34" s="35" t="str">
        <f aca="false">IF(AK34="Prazo expirado","Prazo passado",IF(LEFT(AK34,11)="Monitorizar","Monitorizar",IF(Y34&gt;=3.5,"Prioridade",IF(Y34&gt;=3,"Candidatar (reach)","Reserva"))))</f>
        <v>Candidatar (reach)</v>
      </c>
      <c r="AM34" s="7" t="s">
        <v>388</v>
      </c>
      <c r="AN34" s="42" t="s">
        <v>484</v>
      </c>
      <c r="AO34" s="7" t="s">
        <v>187</v>
      </c>
      <c r="AP34" s="7" t="s">
        <v>218</v>
      </c>
      <c r="AQ34" s="7" t="n">
        <f aca="false">IF(OR(AK34="Prazo expirado",LEFT(AK34,11)="Monitorizar"),0,1)</f>
        <v>1</v>
      </c>
      <c r="AR34" s="41" t="n">
        <f aca="false">IF(AQ34=0,0,AH34)</f>
        <v>0.009088</v>
      </c>
      <c r="AS34" s="41" t="n">
        <f aca="false">AR34*W34/5</f>
        <v>0.009088</v>
      </c>
      <c r="AT34" s="43" t="n">
        <f aca="false">AS34+W34/1000000+(1000-ROW())/1000000000</f>
        <v>0.009093966</v>
      </c>
      <c r="AU34" s="35" t="n">
        <f aca="false">RANK(AT34,$AT$4:$AT$227)</f>
        <v>122</v>
      </c>
      <c r="AV34" s="40" t="n">
        <f aca="false">IF(AQ34=0,"",AF34)</f>
        <v>42.4</v>
      </c>
      <c r="AW34" s="41" t="n">
        <f aca="false">IF(AQ34=0,"",AH34)</f>
        <v>0.009088</v>
      </c>
    </row>
    <row r="35" customFormat="false" ht="33.75" hidden="false" customHeight="true" outlineLevel="0" collapsed="false">
      <c r="A35" s="35" t="n">
        <v>32</v>
      </c>
      <c r="B35" s="7" t="s">
        <v>485</v>
      </c>
      <c r="C35" s="7" t="s">
        <v>482</v>
      </c>
      <c r="D35" s="7" t="s">
        <v>169</v>
      </c>
      <c r="E35" s="7" t="s">
        <v>230</v>
      </c>
      <c r="F35" s="35" t="s">
        <v>85</v>
      </c>
      <c r="G35" s="7" t="s">
        <v>205</v>
      </c>
      <c r="H35" s="7" t="s">
        <v>172</v>
      </c>
      <c r="I35" s="7" t="s">
        <v>376</v>
      </c>
      <c r="J35" s="35" t="s">
        <v>207</v>
      </c>
      <c r="K35" s="7" t="s">
        <v>483</v>
      </c>
      <c r="L35" s="7" t="s">
        <v>378</v>
      </c>
      <c r="M35" s="7" t="s">
        <v>210</v>
      </c>
      <c r="N35" s="7" t="s">
        <v>215</v>
      </c>
      <c r="O35" s="7" t="s">
        <v>179</v>
      </c>
      <c r="P35" s="35" t="str">
        <f aca="true">IF(ISNUMBER(O35),O35-TODAY(),"")</f>
        <v/>
      </c>
      <c r="Q35" s="7" t="s">
        <v>179</v>
      </c>
      <c r="R35" s="36" t="n">
        <v>1500</v>
      </c>
      <c r="S35" s="36" t="n">
        <v>2500</v>
      </c>
      <c r="T35" s="37" t="n">
        <f aca="false">IF(R35="","",AVERAGE(R35,S35))</f>
        <v>2000</v>
      </c>
      <c r="U35" s="7" t="s">
        <v>401</v>
      </c>
      <c r="V35" s="38" t="s">
        <v>181</v>
      </c>
      <c r="W35" s="38" t="n">
        <v>5</v>
      </c>
      <c r="X35" s="38" t="n">
        <v>1</v>
      </c>
      <c r="Y35" s="35" t="n">
        <f aca="false">ROUND(0.6*W35+0.4*X35,1)</f>
        <v>3.4</v>
      </c>
      <c r="Z35" s="38" t="s">
        <v>213</v>
      </c>
      <c r="AA35" s="38" t="n">
        <v>0.6</v>
      </c>
      <c r="AB35" s="39" t="n">
        <f aca="false">1-AA35*(1-INDEX('Perfil e pressupostos'!$C$14:$C$20,MATCH(Z35,'Perfil e pressupostos'!$A$14:$A$20,0)))</f>
        <v>0.43</v>
      </c>
      <c r="AC35" s="38" t="n">
        <v>0.3</v>
      </c>
      <c r="AD35" s="38" t="n">
        <v>0.4</v>
      </c>
      <c r="AE35" s="38" t="n">
        <v>0.7</v>
      </c>
      <c r="AF35" s="40" t="n">
        <f aca="false">100*('Perfil e pressupostos'!$F$14*AB35+'Perfil e pressupostos'!$F$15*AC35+'Perfil e pressupostos'!$F$16*AD35+'Perfil e pressupostos'!$F$17*AE35)/'Perfil e pressupostos'!$F$18</f>
        <v>42.4</v>
      </c>
      <c r="AG35" s="41" t="n">
        <f aca="false">INDEX('Perfil e pressupostos'!$B$25:$B$28,MATCH(V35,'Perfil e pressupostos'!$A$25:$A$28,0))</f>
        <v>0.01</v>
      </c>
      <c r="AH35" s="41" t="n">
        <f aca="false">MIN('Perfil e pressupostos'!$F$29,AG35*('Perfil e pressupostos'!$F$25+'Perfil e pressupostos'!$F$26*AF35/100)*IF(AD35&lt;='Perfil e pressupostos'!$F$28,'Perfil e pressupostos'!$F$27,1))</f>
        <v>0.009088</v>
      </c>
      <c r="AI35" s="35" t="str">
        <f aca="false">IF(AQ35=0,"—",IF(AH35&gt;='Perfil e pressupostos'!$F$30,"Boa",IF(AH35&gt;='Perfil e pressupostos'!$F$31,"Média","Baixa")))</f>
        <v>Baixa</v>
      </c>
      <c r="AJ35" s="7" t="s">
        <v>214</v>
      </c>
      <c r="AK35" s="7" t="s">
        <v>215</v>
      </c>
      <c r="AL35" s="35" t="str">
        <f aca="false">IF(AK35="Prazo expirado","Prazo passado",IF(LEFT(AK35,11)="Monitorizar","Monitorizar",IF(Y35&gt;=3.5,"Prioridade",IF(Y35&gt;=3,"Candidatar (reach)","Reserva"))))</f>
        <v>Candidatar (reach)</v>
      </c>
      <c r="AM35" s="7" t="s">
        <v>388</v>
      </c>
      <c r="AN35" s="42" t="s">
        <v>486</v>
      </c>
      <c r="AO35" s="7" t="s">
        <v>187</v>
      </c>
      <c r="AP35" s="7" t="s">
        <v>218</v>
      </c>
      <c r="AQ35" s="7" t="n">
        <f aca="false">IF(OR(AK35="Prazo expirado",LEFT(AK35,11)="Monitorizar"),0,1)</f>
        <v>1</v>
      </c>
      <c r="AR35" s="41" t="n">
        <f aca="false">IF(AQ35=0,0,AH35)</f>
        <v>0.009088</v>
      </c>
      <c r="AS35" s="41" t="n">
        <f aca="false">AR35*W35/5</f>
        <v>0.009088</v>
      </c>
      <c r="AT35" s="43" t="n">
        <f aca="false">AS35+W35/1000000+(1000-ROW())/1000000000</f>
        <v>0.009093965</v>
      </c>
      <c r="AU35" s="35" t="n">
        <f aca="false">RANK(AT35,$AT$4:$AT$227)</f>
        <v>123</v>
      </c>
      <c r="AV35" s="40" t="n">
        <f aca="false">IF(AQ35=0,"",AF35)</f>
        <v>42.4</v>
      </c>
      <c r="AW35" s="41" t="n">
        <f aca="false">IF(AQ35=0,"",AH35)</f>
        <v>0.009088</v>
      </c>
    </row>
    <row r="36" customFormat="false" ht="33.75" hidden="false" customHeight="true" outlineLevel="0" collapsed="false">
      <c r="A36" s="35" t="n">
        <v>33</v>
      </c>
      <c r="B36" s="7" t="s">
        <v>487</v>
      </c>
      <c r="C36" s="7" t="s">
        <v>488</v>
      </c>
      <c r="D36" s="7" t="s">
        <v>169</v>
      </c>
      <c r="E36" s="7" t="s">
        <v>230</v>
      </c>
      <c r="F36" s="35" t="s">
        <v>87</v>
      </c>
      <c r="G36" s="7" t="s">
        <v>489</v>
      </c>
      <c r="H36" s="7" t="s">
        <v>172</v>
      </c>
      <c r="I36" s="7" t="s">
        <v>490</v>
      </c>
      <c r="J36" s="35" t="s">
        <v>491</v>
      </c>
      <c r="K36" s="7" t="s">
        <v>492</v>
      </c>
      <c r="L36" s="7" t="s">
        <v>378</v>
      </c>
      <c r="M36" s="7" t="s">
        <v>458</v>
      </c>
      <c r="N36" s="7" t="s">
        <v>215</v>
      </c>
      <c r="O36" s="7" t="s">
        <v>179</v>
      </c>
      <c r="P36" s="35" t="str">
        <f aca="true">IF(ISNUMBER(O36),O36-TODAY(),"")</f>
        <v/>
      </c>
      <c r="Q36" s="7" t="s">
        <v>179</v>
      </c>
      <c r="R36" s="36" t="n">
        <v>1800</v>
      </c>
      <c r="S36" s="36" t="n">
        <v>2500</v>
      </c>
      <c r="T36" s="37" t="n">
        <f aca="false">IF(R36="","",AVERAGE(R36,S36))</f>
        <v>2150</v>
      </c>
      <c r="U36" s="7" t="s">
        <v>493</v>
      </c>
      <c r="V36" s="38" t="s">
        <v>181</v>
      </c>
      <c r="W36" s="38" t="n">
        <v>5</v>
      </c>
      <c r="X36" s="38" t="n">
        <v>1</v>
      </c>
      <c r="Y36" s="35" t="n">
        <f aca="false">ROUND(0.6*W36+0.4*X36,1)</f>
        <v>3.4</v>
      </c>
      <c r="Z36" s="38" t="s">
        <v>304</v>
      </c>
      <c r="AA36" s="38" t="n">
        <v>0.5</v>
      </c>
      <c r="AB36" s="39" t="n">
        <f aca="false">1-AA36*(1-INDEX('Perfil e pressupostos'!$C$14:$C$20,MATCH(Z36,'Perfil e pressupostos'!$A$14:$A$20,0)))</f>
        <v>0.525</v>
      </c>
      <c r="AC36" s="38" t="n">
        <v>0.3</v>
      </c>
      <c r="AD36" s="38" t="n">
        <v>0.5</v>
      </c>
      <c r="AE36" s="38" t="n">
        <v>0.7</v>
      </c>
      <c r="AF36" s="40" t="n">
        <f aca="false">100*('Perfil e pressupostos'!$F$14*AB36+'Perfil e pressupostos'!$F$15*AC36+'Perfil e pressupostos'!$F$16*AD36+'Perfil e pressupostos'!$F$17*AE36)/'Perfil e pressupostos'!$F$18</f>
        <v>47.75</v>
      </c>
      <c r="AG36" s="41" t="n">
        <f aca="false">INDEX('Perfil e pressupostos'!$B$25:$B$28,MATCH(V36,'Perfil e pressupostos'!$A$25:$A$28,0))</f>
        <v>0.01</v>
      </c>
      <c r="AH36" s="41" t="n">
        <f aca="false">MIN('Perfil e pressupostos'!$F$29,AG36*('Perfil e pressupostos'!$F$25+'Perfil e pressupostos'!$F$26*AF36/100)*IF(AD36&lt;='Perfil e pressupostos'!$F$28,'Perfil e pressupostos'!$F$27,1))</f>
        <v>0.00973</v>
      </c>
      <c r="AI36" s="35" t="str">
        <f aca="false">IF(AQ36=0,"—",IF(AH36&gt;='Perfil e pressupostos'!$F$30,"Boa",IF(AH36&gt;='Perfil e pressupostos'!$F$31,"Média","Baixa")))</f>
        <v>Baixa</v>
      </c>
      <c r="AJ36" s="7" t="s">
        <v>460</v>
      </c>
      <c r="AK36" s="7" t="s">
        <v>215</v>
      </c>
      <c r="AL36" s="35" t="str">
        <f aca="false">IF(AK36="Prazo expirado","Prazo passado",IF(LEFT(AK36,11)="Monitorizar","Monitorizar",IF(Y36&gt;=3.5,"Prioridade",IF(Y36&gt;=3,"Candidatar (reach)","Reserva"))))</f>
        <v>Candidatar (reach)</v>
      </c>
      <c r="AM36" s="7" t="s">
        <v>388</v>
      </c>
      <c r="AN36" s="42" t="s">
        <v>494</v>
      </c>
      <c r="AO36" s="7" t="s">
        <v>187</v>
      </c>
      <c r="AP36" s="7" t="s">
        <v>218</v>
      </c>
      <c r="AQ36" s="7" t="n">
        <f aca="false">IF(OR(AK36="Prazo expirado",LEFT(AK36,11)="Monitorizar"),0,1)</f>
        <v>1</v>
      </c>
      <c r="AR36" s="41" t="n">
        <f aca="false">IF(AQ36=0,0,AH36)</f>
        <v>0.00973</v>
      </c>
      <c r="AS36" s="41" t="n">
        <f aca="false">AR36*W36/5</f>
        <v>0.00973</v>
      </c>
      <c r="AT36" s="43" t="n">
        <f aca="false">AS36+W36/1000000+(1000-ROW())/1000000000</f>
        <v>0.009735964</v>
      </c>
      <c r="AU36" s="35" t="n">
        <f aca="false">RANK(AT36,$AT$4:$AT$227)</f>
        <v>115</v>
      </c>
      <c r="AV36" s="40" t="n">
        <f aca="false">IF(AQ36=0,"",AF36)</f>
        <v>47.75</v>
      </c>
      <c r="AW36" s="41" t="n">
        <f aca="false">IF(AQ36=0,"",AH36)</f>
        <v>0.00973</v>
      </c>
    </row>
    <row r="37" customFormat="false" ht="45" hidden="false" customHeight="true" outlineLevel="0" collapsed="false">
      <c r="A37" s="35" t="n">
        <v>34</v>
      </c>
      <c r="B37" s="7" t="s">
        <v>495</v>
      </c>
      <c r="C37" s="7" t="s">
        <v>496</v>
      </c>
      <c r="D37" s="7" t="s">
        <v>497</v>
      </c>
      <c r="E37" s="7" t="s">
        <v>170</v>
      </c>
      <c r="F37" s="35" t="s">
        <v>87</v>
      </c>
      <c r="G37" s="7" t="s">
        <v>498</v>
      </c>
      <c r="H37" s="7" t="s">
        <v>172</v>
      </c>
      <c r="I37" s="7" t="s">
        <v>499</v>
      </c>
      <c r="J37" s="35" t="s">
        <v>207</v>
      </c>
      <c r="K37" s="7" t="s">
        <v>500</v>
      </c>
      <c r="L37" s="7" t="s">
        <v>378</v>
      </c>
      <c r="M37" s="7" t="s">
        <v>501</v>
      </c>
      <c r="N37" s="7" t="s">
        <v>215</v>
      </c>
      <c r="O37" s="7" t="s">
        <v>179</v>
      </c>
      <c r="P37" s="35" t="str">
        <f aca="true">IF(ISNUMBER(O37),O37-TODAY(),"")</f>
        <v/>
      </c>
      <c r="Q37" s="7" t="s">
        <v>179</v>
      </c>
      <c r="R37" s="36" t="n">
        <v>1200</v>
      </c>
      <c r="S37" s="36" t="n">
        <v>2000</v>
      </c>
      <c r="T37" s="37" t="n">
        <f aca="false">IF(R37="","",AVERAGE(R37,S37))</f>
        <v>1600</v>
      </c>
      <c r="U37" s="7" t="s">
        <v>502</v>
      </c>
      <c r="V37" s="38" t="s">
        <v>199</v>
      </c>
      <c r="W37" s="38" t="n">
        <v>4</v>
      </c>
      <c r="X37" s="38" t="n">
        <v>2</v>
      </c>
      <c r="Y37" s="35" t="n">
        <f aca="false">ROUND(0.6*W37+0.4*X37,1)</f>
        <v>3.2</v>
      </c>
      <c r="Z37" s="38" t="s">
        <v>304</v>
      </c>
      <c r="AA37" s="38" t="n">
        <v>0.7</v>
      </c>
      <c r="AB37" s="39" t="n">
        <f aca="false">1-AA37*(1-INDEX('Perfil e pressupostos'!$C$14:$C$20,MATCH(Z37,'Perfil e pressupostos'!$A$14:$A$20,0)))</f>
        <v>0.335</v>
      </c>
      <c r="AC37" s="38" t="n">
        <v>0.4</v>
      </c>
      <c r="AD37" s="38" t="n">
        <v>0.5</v>
      </c>
      <c r="AE37" s="38" t="n">
        <v>0.7</v>
      </c>
      <c r="AF37" s="40" t="n">
        <f aca="false">100*('Perfil e pressupostos'!$F$14*AB37+'Perfil e pressupostos'!$F$15*AC37+'Perfil e pressupostos'!$F$16*AD37+'Perfil e pressupostos'!$F$17*AE37)/'Perfil e pressupostos'!$F$18</f>
        <v>45.05</v>
      </c>
      <c r="AG37" s="41" t="n">
        <f aca="false">INDEX('Perfil e pressupostos'!$B$25:$B$28,MATCH(V37,'Perfil e pressupostos'!$A$25:$A$28,0))</f>
        <v>0.03</v>
      </c>
      <c r="AH37" s="41" t="n">
        <f aca="false">MIN('Perfil e pressupostos'!$F$29,AG37*('Perfil e pressupostos'!$F$25+'Perfil e pressupostos'!$F$26*AF37/100)*IF(AD37&lt;='Perfil e pressupostos'!$F$28,'Perfil e pressupostos'!$F$27,1))</f>
        <v>0.028218</v>
      </c>
      <c r="AI37" s="35" t="str">
        <f aca="false">IF(AQ37=0,"—",IF(AH37&gt;='Perfil e pressupostos'!$F$30,"Boa",IF(AH37&gt;='Perfil e pressupostos'!$F$31,"Média","Baixa")))</f>
        <v>Baixa</v>
      </c>
      <c r="AJ37" s="7" t="s">
        <v>503</v>
      </c>
      <c r="AK37" s="7" t="s">
        <v>215</v>
      </c>
      <c r="AL37" s="35" t="str">
        <f aca="false">IF(AK37="Prazo expirado","Prazo passado",IF(LEFT(AK37,11)="Monitorizar","Monitorizar",IF(Y37&gt;=3.5,"Prioridade",IF(Y37&gt;=3,"Candidatar (reach)","Reserva"))))</f>
        <v>Candidatar (reach)</v>
      </c>
      <c r="AM37" s="7" t="s">
        <v>504</v>
      </c>
      <c r="AN37" s="42" t="s">
        <v>505</v>
      </c>
      <c r="AO37" s="7" t="s">
        <v>361</v>
      </c>
      <c r="AP37" s="7" t="s">
        <v>218</v>
      </c>
      <c r="AQ37" s="7" t="n">
        <f aca="false">IF(OR(AK37="Prazo expirado",LEFT(AK37,11)="Monitorizar"),0,1)</f>
        <v>1</v>
      </c>
      <c r="AR37" s="41" t="n">
        <f aca="false">IF(AQ37=0,0,AH37)</f>
        <v>0.028218</v>
      </c>
      <c r="AS37" s="41" t="n">
        <f aca="false">AR37*W37/5</f>
        <v>0.0225744</v>
      </c>
      <c r="AT37" s="43" t="n">
        <f aca="false">AS37+W37/1000000+(1000-ROW())/1000000000</f>
        <v>0.022579363</v>
      </c>
      <c r="AU37" s="35" t="n">
        <f aca="false">RANK(AT37,$AT$4:$AT$227)</f>
        <v>70</v>
      </c>
      <c r="AV37" s="40" t="n">
        <f aca="false">IF(AQ37=0,"",AF37)</f>
        <v>45.05</v>
      </c>
      <c r="AW37" s="41" t="n">
        <f aca="false">IF(AQ37=0,"",AH37)</f>
        <v>0.028218</v>
      </c>
    </row>
    <row r="38" customFormat="false" ht="22.5" hidden="false" customHeight="true" outlineLevel="0" collapsed="false">
      <c r="A38" s="35" t="n">
        <v>35</v>
      </c>
      <c r="B38" s="7" t="s">
        <v>506</v>
      </c>
      <c r="C38" s="7" t="s">
        <v>507</v>
      </c>
      <c r="D38" s="7" t="s">
        <v>508</v>
      </c>
      <c r="E38" s="7" t="s">
        <v>509</v>
      </c>
      <c r="F38" s="35" t="s">
        <v>89</v>
      </c>
      <c r="G38" s="7" t="s">
        <v>311</v>
      </c>
      <c r="H38" s="7" t="s">
        <v>172</v>
      </c>
      <c r="I38" s="7" t="s">
        <v>510</v>
      </c>
      <c r="J38" s="35" t="s">
        <v>511</v>
      </c>
      <c r="K38" s="7" t="s">
        <v>512</v>
      </c>
      <c r="L38" s="7" t="s">
        <v>378</v>
      </c>
      <c r="M38" s="7" t="s">
        <v>513</v>
      </c>
      <c r="N38" s="7" t="s">
        <v>514</v>
      </c>
      <c r="O38" s="7" t="s">
        <v>515</v>
      </c>
      <c r="P38" s="35" t="str">
        <f aca="true">IF(ISNUMBER(O38),O38-TODAY(),"")</f>
        <v/>
      </c>
      <c r="Q38" s="7" t="s">
        <v>179</v>
      </c>
      <c r="R38" s="36" t="n">
        <v>1000</v>
      </c>
      <c r="S38" s="36" t="n">
        <v>1300</v>
      </c>
      <c r="T38" s="37" t="n">
        <f aca="false">IF(R38="","",AVERAGE(R38,S38))</f>
        <v>1150</v>
      </c>
      <c r="U38" s="7" t="s">
        <v>516</v>
      </c>
      <c r="V38" s="38" t="s">
        <v>517</v>
      </c>
      <c r="W38" s="38" t="n">
        <v>3</v>
      </c>
      <c r="X38" s="38" t="n">
        <v>4</v>
      </c>
      <c r="Y38" s="35" t="n">
        <f aca="false">ROUND(0.6*W38+0.4*X38,1)</f>
        <v>3.4</v>
      </c>
      <c r="Z38" s="38" t="s">
        <v>518</v>
      </c>
      <c r="AA38" s="38" t="n">
        <v>1</v>
      </c>
      <c r="AB38" s="39" t="n">
        <f aca="false">1-AA38*(1-INDEX('Perfil e pressupostos'!$C$14:$C$20,MATCH(Z38,'Perfil e pressupostos'!$A$14:$A$20,0)))</f>
        <v>1</v>
      </c>
      <c r="AC38" s="38" t="n">
        <v>0.8</v>
      </c>
      <c r="AD38" s="38" t="n">
        <v>1</v>
      </c>
      <c r="AE38" s="38" t="n">
        <v>0.7</v>
      </c>
      <c r="AF38" s="40" t="n">
        <f aca="false">100*('Perfil e pressupostos'!$F$14*AB38+'Perfil e pressupostos'!$F$15*AC38+'Perfil e pressupostos'!$F$16*AD38+'Perfil e pressupostos'!$F$17*AE38)/'Perfil e pressupostos'!$F$18</f>
        <v>89.5</v>
      </c>
      <c r="AG38" s="41" t="n">
        <f aca="false">INDEX('Perfil e pressupostos'!$B$25:$B$28,MATCH(V38,'Perfil e pressupostos'!$A$25:$A$28,0))</f>
        <v>0.12</v>
      </c>
      <c r="AH38" s="41" t="n">
        <f aca="false">MIN('Perfil e pressupostos'!$F$29,AG38*('Perfil e pressupostos'!$F$25+'Perfil e pressupostos'!$F$26*AF38/100)*IF(AD38&lt;='Perfil e pressupostos'!$F$28,'Perfil e pressupostos'!$F$27,1))</f>
        <v>0.17688</v>
      </c>
      <c r="AI38" s="35" t="str">
        <f aca="false">IF(AQ38=0,"—",IF(AH38&gt;='Perfil e pressupostos'!$F$30,"Boa",IF(AH38&gt;='Perfil e pressupostos'!$F$31,"Média","Baixa")))</f>
        <v>Boa</v>
      </c>
      <c r="AJ38" s="7" t="s">
        <v>519</v>
      </c>
      <c r="AK38" s="7" t="s">
        <v>240</v>
      </c>
      <c r="AL38" s="35" t="str">
        <f aca="false">IF(AK38="Prazo expirado","Prazo passado",IF(LEFT(AK38,11)="Monitorizar","Monitorizar",IF(Y38&gt;=3.5,"Prioridade",IF(Y38&gt;=3,"Candidatar (reach)","Reserva"))))</f>
        <v>Candidatar (reach)</v>
      </c>
      <c r="AM38" s="7" t="s">
        <v>520</v>
      </c>
      <c r="AN38" s="42" t="s">
        <v>521</v>
      </c>
      <c r="AO38" s="7" t="s">
        <v>295</v>
      </c>
      <c r="AP38" s="7" t="s">
        <v>218</v>
      </c>
      <c r="AQ38" s="7" t="n">
        <f aca="false">IF(OR(AK38="Prazo expirado",LEFT(AK38,11)="Monitorizar"),0,1)</f>
        <v>1</v>
      </c>
      <c r="AR38" s="41" t="n">
        <f aca="false">IF(AQ38=0,0,AH38)</f>
        <v>0.17688</v>
      </c>
      <c r="AS38" s="41" t="n">
        <f aca="false">AR38*W38/5</f>
        <v>0.106128</v>
      </c>
      <c r="AT38" s="43" t="n">
        <f aca="false">AS38+W38/1000000+(1000-ROW())/1000000000</f>
        <v>0.106131962</v>
      </c>
      <c r="AU38" s="35" t="n">
        <f aca="false">RANK(AT38,$AT$4:$AT$227)</f>
        <v>3</v>
      </c>
      <c r="AV38" s="40" t="n">
        <f aca="false">IF(AQ38=0,"",AF38)</f>
        <v>89.5</v>
      </c>
      <c r="AW38" s="41" t="n">
        <f aca="false">IF(AQ38=0,"",AH38)</f>
        <v>0.17688</v>
      </c>
    </row>
    <row r="39" customFormat="false" ht="22.5" hidden="false" customHeight="true" outlineLevel="0" collapsed="false">
      <c r="A39" s="35" t="n">
        <v>36</v>
      </c>
      <c r="B39" s="7" t="s">
        <v>522</v>
      </c>
      <c r="C39" s="7" t="s">
        <v>523</v>
      </c>
      <c r="D39" s="7" t="s">
        <v>508</v>
      </c>
      <c r="E39" s="7" t="s">
        <v>509</v>
      </c>
      <c r="F39" s="35" t="s">
        <v>89</v>
      </c>
      <c r="G39" s="7" t="s">
        <v>311</v>
      </c>
      <c r="H39" s="7" t="s">
        <v>172</v>
      </c>
      <c r="I39" s="7" t="s">
        <v>179</v>
      </c>
      <c r="J39" s="35" t="s">
        <v>207</v>
      </c>
      <c r="K39" s="7" t="s">
        <v>524</v>
      </c>
      <c r="L39" s="7" t="s">
        <v>378</v>
      </c>
      <c r="M39" s="7" t="s">
        <v>525</v>
      </c>
      <c r="N39" s="7" t="s">
        <v>514</v>
      </c>
      <c r="O39" s="7" t="s">
        <v>179</v>
      </c>
      <c r="P39" s="35" t="str">
        <f aca="true">IF(ISNUMBER(O39),O39-TODAY(),"")</f>
        <v/>
      </c>
      <c r="Q39" s="7" t="s">
        <v>179</v>
      </c>
      <c r="R39" s="36" t="n">
        <v>1000</v>
      </c>
      <c r="S39" s="36" t="n">
        <v>1300</v>
      </c>
      <c r="T39" s="37" t="n">
        <f aca="false">IF(R39="","",AVERAGE(R39,S39))</f>
        <v>1150</v>
      </c>
      <c r="U39" s="7" t="s">
        <v>516</v>
      </c>
      <c r="V39" s="38" t="s">
        <v>517</v>
      </c>
      <c r="W39" s="38" t="n">
        <v>2</v>
      </c>
      <c r="X39" s="38" t="n">
        <v>4</v>
      </c>
      <c r="Y39" s="35" t="n">
        <f aca="false">ROUND(0.6*W39+0.4*X39,1)</f>
        <v>2.8</v>
      </c>
      <c r="Z39" s="38" t="s">
        <v>518</v>
      </c>
      <c r="AA39" s="38" t="n">
        <v>1</v>
      </c>
      <c r="AB39" s="39" t="n">
        <f aca="false">1-AA39*(1-INDEX('Perfil e pressupostos'!$C$14:$C$20,MATCH(Z39,'Perfil e pressupostos'!$A$14:$A$20,0)))</f>
        <v>1</v>
      </c>
      <c r="AC39" s="38" t="n">
        <v>0.8</v>
      </c>
      <c r="AD39" s="38" t="n">
        <v>1</v>
      </c>
      <c r="AE39" s="38" t="n">
        <v>0.6</v>
      </c>
      <c r="AF39" s="40" t="n">
        <f aca="false">100*('Perfil e pressupostos'!$F$14*AB39+'Perfil e pressupostos'!$F$15*AC39+'Perfil e pressupostos'!$F$16*AD39+'Perfil e pressupostos'!$F$17*AE39)/'Perfil e pressupostos'!$F$18</f>
        <v>88</v>
      </c>
      <c r="AG39" s="41" t="n">
        <f aca="false">INDEX('Perfil e pressupostos'!$B$25:$B$28,MATCH(V39,'Perfil e pressupostos'!$A$25:$A$28,0))</f>
        <v>0.12</v>
      </c>
      <c r="AH39" s="41" t="n">
        <f aca="false">MIN('Perfil e pressupostos'!$F$29,AG39*('Perfil e pressupostos'!$F$25+'Perfil e pressupostos'!$F$26*AF39/100)*IF(AD39&lt;='Perfil e pressupostos'!$F$28,'Perfil e pressupostos'!$F$27,1))</f>
        <v>0.17472</v>
      </c>
      <c r="AI39" s="35" t="str">
        <f aca="false">IF(AQ39=0,"—",IF(AH39&gt;='Perfil e pressupostos'!$F$30,"Boa",IF(AH39&gt;='Perfil e pressupostos'!$F$31,"Média","Baixa")))</f>
        <v>Boa</v>
      </c>
      <c r="AJ39" s="7" t="s">
        <v>519</v>
      </c>
      <c r="AK39" s="7" t="s">
        <v>215</v>
      </c>
      <c r="AL39" s="35" t="str">
        <f aca="false">IF(AK39="Prazo expirado","Prazo passado",IF(LEFT(AK39,11)="Monitorizar","Monitorizar",IF(Y39&gt;=3.5,"Prioridade",IF(Y39&gt;=3,"Candidatar (reach)","Reserva"))))</f>
        <v>Reserva</v>
      </c>
      <c r="AM39" s="7" t="s">
        <v>526</v>
      </c>
      <c r="AN39" s="42" t="s">
        <v>521</v>
      </c>
      <c r="AO39" s="7" t="s">
        <v>295</v>
      </c>
      <c r="AP39" s="7" t="s">
        <v>218</v>
      </c>
      <c r="AQ39" s="7" t="n">
        <f aca="false">IF(OR(AK39="Prazo expirado",LEFT(AK39,11)="Monitorizar"),0,1)</f>
        <v>1</v>
      </c>
      <c r="AR39" s="41" t="n">
        <f aca="false">IF(AQ39=0,0,AH39)</f>
        <v>0.17472</v>
      </c>
      <c r="AS39" s="41" t="n">
        <f aca="false">AR39*W39/5</f>
        <v>0.069888</v>
      </c>
      <c r="AT39" s="43" t="n">
        <f aca="false">AS39+W39/1000000+(1000-ROW())/1000000000</f>
        <v>0.069890961</v>
      </c>
      <c r="AU39" s="35" t="n">
        <f aca="false">RANK(AT39,$AT$4:$AT$227)</f>
        <v>26</v>
      </c>
      <c r="AV39" s="40" t="n">
        <f aca="false">IF(AQ39=0,"",AF39)</f>
        <v>88</v>
      </c>
      <c r="AW39" s="41" t="n">
        <f aca="false">IF(AQ39=0,"",AH39)</f>
        <v>0.17472</v>
      </c>
    </row>
    <row r="40" customFormat="false" ht="33.75" hidden="false" customHeight="true" outlineLevel="0" collapsed="false">
      <c r="A40" s="35" t="n">
        <v>37</v>
      </c>
      <c r="B40" s="7" t="s">
        <v>527</v>
      </c>
      <c r="C40" s="7" t="s">
        <v>528</v>
      </c>
      <c r="D40" s="7" t="s">
        <v>529</v>
      </c>
      <c r="E40" s="7" t="s">
        <v>530</v>
      </c>
      <c r="F40" s="35" t="s">
        <v>89</v>
      </c>
      <c r="G40" s="7" t="s">
        <v>531</v>
      </c>
      <c r="H40" s="7" t="s">
        <v>532</v>
      </c>
      <c r="I40" s="7" t="s">
        <v>533</v>
      </c>
      <c r="J40" s="35" t="s">
        <v>174</v>
      </c>
      <c r="K40" s="7" t="s">
        <v>534</v>
      </c>
      <c r="L40" s="7" t="s">
        <v>535</v>
      </c>
      <c r="M40" s="7" t="s">
        <v>525</v>
      </c>
      <c r="N40" s="7" t="s">
        <v>536</v>
      </c>
      <c r="O40" s="7" t="s">
        <v>537</v>
      </c>
      <c r="P40" s="35" t="str">
        <f aca="true">IF(ISNUMBER(O40),O40-TODAY(),"")</f>
        <v/>
      </c>
      <c r="Q40" s="7" t="s">
        <v>538</v>
      </c>
      <c r="R40" s="36" t="n">
        <v>1182</v>
      </c>
      <c r="S40" s="36" t="n">
        <v>1182</v>
      </c>
      <c r="T40" s="37" t="n">
        <f aca="false">IF(R40="","",AVERAGE(R40,S40))</f>
        <v>1182</v>
      </c>
      <c r="U40" s="7" t="s">
        <v>539</v>
      </c>
      <c r="V40" s="38" t="s">
        <v>517</v>
      </c>
      <c r="W40" s="38" t="n">
        <v>3</v>
      </c>
      <c r="X40" s="38" t="n">
        <v>4.5</v>
      </c>
      <c r="Y40" s="35" t="n">
        <f aca="false">ROUND(0.6*W40+0.4*X40,1)</f>
        <v>3.6</v>
      </c>
      <c r="Z40" s="38" t="s">
        <v>518</v>
      </c>
      <c r="AA40" s="38" t="n">
        <v>1</v>
      </c>
      <c r="AB40" s="39" t="n">
        <f aca="false">1-AA40*(1-INDEX('Perfil e pressupostos'!$C$14:$C$20,MATCH(Z40,'Perfil e pressupostos'!$A$14:$A$20,0)))</f>
        <v>1</v>
      </c>
      <c r="AC40" s="38" t="n">
        <v>0.8</v>
      </c>
      <c r="AD40" s="38" t="n">
        <v>1</v>
      </c>
      <c r="AE40" s="38" t="n">
        <v>0.7</v>
      </c>
      <c r="AF40" s="40" t="n">
        <f aca="false">100*('Perfil e pressupostos'!$F$14*AB40+'Perfil e pressupostos'!$F$15*AC40+'Perfil e pressupostos'!$F$16*AD40+'Perfil e pressupostos'!$F$17*AE40)/'Perfil e pressupostos'!$F$18</f>
        <v>89.5</v>
      </c>
      <c r="AG40" s="41" t="n">
        <f aca="false">INDEX('Perfil e pressupostos'!$B$25:$B$28,MATCH(V40,'Perfil e pressupostos'!$A$25:$A$28,0))</f>
        <v>0.12</v>
      </c>
      <c r="AH40" s="41" t="n">
        <f aca="false">MIN('Perfil e pressupostos'!$F$29,AG40*('Perfil e pressupostos'!$F$25+'Perfil e pressupostos'!$F$26*AF40/100)*IF(AD40&lt;='Perfil e pressupostos'!$F$28,'Perfil e pressupostos'!$F$27,1))</f>
        <v>0.17688</v>
      </c>
      <c r="AI40" s="35" t="str">
        <f aca="false">IF(AQ40=0,"—",IF(AH40&gt;='Perfil e pressupostos'!$F$30,"Boa",IF(AH40&gt;='Perfil e pressupostos'!$F$31,"Média","Baixa")))</f>
        <v>Boa</v>
      </c>
      <c r="AJ40" s="7" t="s">
        <v>519</v>
      </c>
      <c r="AK40" s="7" t="s">
        <v>540</v>
      </c>
      <c r="AL40" s="35" t="str">
        <f aca="false">IF(AK40="Prazo expirado","Prazo passado",IF(LEFT(AK40,11)="Monitorizar","Monitorizar",IF(Y40&gt;=3.5,"Prioridade",IF(Y40&gt;=3,"Candidatar (reach)","Reserva"))))</f>
        <v>Prioridade</v>
      </c>
      <c r="AM40" s="7" t="s">
        <v>541</v>
      </c>
      <c r="AN40" s="42" t="s">
        <v>542</v>
      </c>
      <c r="AO40" s="7" t="s">
        <v>295</v>
      </c>
      <c r="AP40" s="7" t="s">
        <v>188</v>
      </c>
      <c r="AQ40" s="7" t="n">
        <f aca="false">IF(OR(AK40="Prazo expirado",LEFT(AK40,11)="Monitorizar"),0,1)</f>
        <v>1</v>
      </c>
      <c r="AR40" s="41" t="n">
        <f aca="false">IF(AQ40=0,0,AH40)</f>
        <v>0.17688</v>
      </c>
      <c r="AS40" s="41" t="n">
        <f aca="false">AR40*W40/5</f>
        <v>0.106128</v>
      </c>
      <c r="AT40" s="43" t="n">
        <f aca="false">AS40+W40/1000000+(1000-ROW())/1000000000</f>
        <v>0.10613196</v>
      </c>
      <c r="AU40" s="35" t="n">
        <f aca="false">RANK(AT40,$AT$4:$AT$227)</f>
        <v>4</v>
      </c>
      <c r="AV40" s="40" t="n">
        <f aca="false">IF(AQ40=0,"",AF40)</f>
        <v>89.5</v>
      </c>
      <c r="AW40" s="41" t="n">
        <f aca="false">IF(AQ40=0,"",AH40)</f>
        <v>0.17688</v>
      </c>
    </row>
    <row r="41" customFormat="false" ht="45" hidden="false" customHeight="true" outlineLevel="0" collapsed="false">
      <c r="A41" s="35" t="n">
        <v>38</v>
      </c>
      <c r="B41" s="7" t="s">
        <v>349</v>
      </c>
      <c r="C41" s="7" t="s">
        <v>543</v>
      </c>
      <c r="D41" s="7" t="s">
        <v>169</v>
      </c>
      <c r="E41" s="7" t="s">
        <v>230</v>
      </c>
      <c r="F41" s="35" t="s">
        <v>85</v>
      </c>
      <c r="G41" s="7" t="s">
        <v>205</v>
      </c>
      <c r="H41" s="7" t="s">
        <v>172</v>
      </c>
      <c r="I41" s="7" t="s">
        <v>220</v>
      </c>
      <c r="J41" s="35" t="s">
        <v>363</v>
      </c>
      <c r="K41" s="7" t="s">
        <v>544</v>
      </c>
      <c r="L41" s="7" t="s">
        <v>545</v>
      </c>
      <c r="M41" s="7" t="s">
        <v>546</v>
      </c>
      <c r="N41" s="7" t="s">
        <v>215</v>
      </c>
      <c r="O41" s="7" t="s">
        <v>179</v>
      </c>
      <c r="P41" s="35" t="str">
        <f aca="true">IF(ISNUMBER(O41),O41-TODAY(),"")</f>
        <v/>
      </c>
      <c r="Q41" s="7" t="s">
        <v>179</v>
      </c>
      <c r="R41" s="36" t="n">
        <v>1500</v>
      </c>
      <c r="S41" s="36" t="n">
        <v>2500</v>
      </c>
      <c r="T41" s="37" t="n">
        <f aca="false">IF(R41="","",AVERAGE(R41,S41))</f>
        <v>2000</v>
      </c>
      <c r="U41" s="7" t="s">
        <v>547</v>
      </c>
      <c r="V41" s="38" t="s">
        <v>181</v>
      </c>
      <c r="W41" s="38" t="n">
        <v>5</v>
      </c>
      <c r="X41" s="38" t="n">
        <v>1.1</v>
      </c>
      <c r="Y41" s="35" t="n">
        <f aca="false">ROUND(0.6*W41+0.4*X41,1)</f>
        <v>3.4</v>
      </c>
      <c r="Z41" s="38" t="s">
        <v>213</v>
      </c>
      <c r="AA41" s="38" t="n">
        <v>1</v>
      </c>
      <c r="AB41" s="39" t="n">
        <f aca="false">1-AA41*(1-INDEX('Perfil e pressupostos'!$C$14:$C$20,MATCH(Z41,'Perfil e pressupostos'!$A$14:$A$20,0)))</f>
        <v>0.05</v>
      </c>
      <c r="AC41" s="38" t="n">
        <v>0.3</v>
      </c>
      <c r="AD41" s="38" t="n">
        <v>0.3</v>
      </c>
      <c r="AE41" s="38" t="n">
        <v>0.8</v>
      </c>
      <c r="AF41" s="40" t="n">
        <f aca="false">100*('Perfil e pressupostos'!$F$14*AB41+'Perfil e pressupostos'!$F$15*AC41+'Perfil e pressupostos'!$F$16*AD41+'Perfil e pressupostos'!$F$17*AE41)/'Perfil e pressupostos'!$F$18</f>
        <v>30</v>
      </c>
      <c r="AG41" s="41" t="n">
        <f aca="false">INDEX('Perfil e pressupostos'!$B$25:$B$28,MATCH(V41,'Perfil e pressupostos'!$A$25:$A$28,0))</f>
        <v>0.01</v>
      </c>
      <c r="AH41" s="41" t="n">
        <f aca="false">MIN('Perfil e pressupostos'!$F$29,AG41*('Perfil e pressupostos'!$F$25+'Perfil e pressupostos'!$F$26*AF41/100)*IF(AD41&lt;='Perfil e pressupostos'!$F$28,'Perfil e pressupostos'!$F$27,1))</f>
        <v>0.0076</v>
      </c>
      <c r="AI41" s="35" t="str">
        <f aca="false">IF(AQ41=0,"—",IF(AH41&gt;='Perfil e pressupostos'!$F$30,"Boa",IF(AH41&gt;='Perfil e pressupostos'!$F$31,"Média","Baixa")))</f>
        <v>Baixa</v>
      </c>
      <c r="AJ41" s="7" t="s">
        <v>358</v>
      </c>
      <c r="AK41" s="7" t="s">
        <v>215</v>
      </c>
      <c r="AL41" s="35" t="str">
        <f aca="false">IF(AK41="Prazo expirado","Prazo passado",IF(LEFT(AK41,11)="Monitorizar","Monitorizar",IF(Y41&gt;=3.5,"Prioridade",IF(Y41&gt;=3,"Candidatar (reach)","Reserva"))))</f>
        <v>Candidatar (reach)</v>
      </c>
      <c r="AM41" s="7" t="s">
        <v>548</v>
      </c>
      <c r="AN41" s="42" t="s">
        <v>549</v>
      </c>
      <c r="AO41" s="7" t="s">
        <v>187</v>
      </c>
      <c r="AP41" s="7" t="s">
        <v>218</v>
      </c>
      <c r="AQ41" s="7" t="n">
        <f aca="false">IF(OR(AK41="Prazo expirado",LEFT(AK41,11)="Monitorizar"),0,1)</f>
        <v>1</v>
      </c>
      <c r="AR41" s="41" t="n">
        <f aca="false">IF(AQ41=0,0,AH41)</f>
        <v>0.0076</v>
      </c>
      <c r="AS41" s="41" t="n">
        <f aca="false">AR41*W41/5</f>
        <v>0.0076</v>
      </c>
      <c r="AT41" s="43" t="n">
        <f aca="false">AS41+W41/1000000+(1000-ROW())/1000000000</f>
        <v>0.007605959</v>
      </c>
      <c r="AU41" s="35" t="n">
        <f aca="false">RANK(AT41,$AT$4:$AT$227)</f>
        <v>165</v>
      </c>
      <c r="AV41" s="40" t="n">
        <f aca="false">IF(AQ41=0,"",AF41)</f>
        <v>30</v>
      </c>
      <c r="AW41" s="41" t="n">
        <f aca="false">IF(AQ41=0,"",AH41)</f>
        <v>0.0076</v>
      </c>
    </row>
    <row r="42" customFormat="false" ht="45" hidden="false" customHeight="true" outlineLevel="0" collapsed="false">
      <c r="A42" s="35" t="n">
        <v>39</v>
      </c>
      <c r="B42" s="7" t="s">
        <v>349</v>
      </c>
      <c r="C42" s="7" t="s">
        <v>550</v>
      </c>
      <c r="D42" s="7" t="s">
        <v>169</v>
      </c>
      <c r="E42" s="7" t="s">
        <v>230</v>
      </c>
      <c r="F42" s="35" t="s">
        <v>85</v>
      </c>
      <c r="G42" s="7" t="s">
        <v>205</v>
      </c>
      <c r="H42" s="7" t="s">
        <v>172</v>
      </c>
      <c r="I42" s="7" t="s">
        <v>220</v>
      </c>
      <c r="J42" s="35" t="s">
        <v>363</v>
      </c>
      <c r="K42" s="7" t="s">
        <v>544</v>
      </c>
      <c r="L42" s="7" t="s">
        <v>545</v>
      </c>
      <c r="M42" s="7" t="s">
        <v>546</v>
      </c>
      <c r="N42" s="7" t="s">
        <v>215</v>
      </c>
      <c r="O42" s="7" t="s">
        <v>179</v>
      </c>
      <c r="P42" s="35" t="str">
        <f aca="true">IF(ISNUMBER(O42),O42-TODAY(),"")</f>
        <v/>
      </c>
      <c r="Q42" s="7" t="s">
        <v>179</v>
      </c>
      <c r="R42" s="36" t="n">
        <v>1500</v>
      </c>
      <c r="S42" s="36" t="n">
        <v>2500</v>
      </c>
      <c r="T42" s="37" t="n">
        <f aca="false">IF(R42="","",AVERAGE(R42,S42))</f>
        <v>2000</v>
      </c>
      <c r="U42" s="7" t="s">
        <v>547</v>
      </c>
      <c r="V42" s="38" t="s">
        <v>181</v>
      </c>
      <c r="W42" s="38" t="n">
        <v>5</v>
      </c>
      <c r="X42" s="38" t="n">
        <v>1.1</v>
      </c>
      <c r="Y42" s="35" t="n">
        <f aca="false">ROUND(0.6*W42+0.4*X42,1)</f>
        <v>3.4</v>
      </c>
      <c r="Z42" s="38" t="s">
        <v>213</v>
      </c>
      <c r="AA42" s="38" t="n">
        <v>1</v>
      </c>
      <c r="AB42" s="39" t="n">
        <f aca="false">1-AA42*(1-INDEX('Perfil e pressupostos'!$C$14:$C$20,MATCH(Z42,'Perfil e pressupostos'!$A$14:$A$20,0)))</f>
        <v>0.05</v>
      </c>
      <c r="AC42" s="38" t="n">
        <v>0.3</v>
      </c>
      <c r="AD42" s="38" t="n">
        <v>0.3</v>
      </c>
      <c r="AE42" s="38" t="n">
        <v>0.8</v>
      </c>
      <c r="AF42" s="40" t="n">
        <f aca="false">100*('Perfil e pressupostos'!$F$14*AB42+'Perfil e pressupostos'!$F$15*AC42+'Perfil e pressupostos'!$F$16*AD42+'Perfil e pressupostos'!$F$17*AE42)/'Perfil e pressupostos'!$F$18</f>
        <v>30</v>
      </c>
      <c r="AG42" s="41" t="n">
        <f aca="false">INDEX('Perfil e pressupostos'!$B$25:$B$28,MATCH(V42,'Perfil e pressupostos'!$A$25:$A$28,0))</f>
        <v>0.01</v>
      </c>
      <c r="AH42" s="41" t="n">
        <f aca="false">MIN('Perfil e pressupostos'!$F$29,AG42*('Perfil e pressupostos'!$F$25+'Perfil e pressupostos'!$F$26*AF42/100)*IF(AD42&lt;='Perfil e pressupostos'!$F$28,'Perfil e pressupostos'!$F$27,1))</f>
        <v>0.0076</v>
      </c>
      <c r="AI42" s="35" t="str">
        <f aca="false">IF(AQ42=0,"—",IF(AH42&gt;='Perfil e pressupostos'!$F$30,"Boa",IF(AH42&gt;='Perfil e pressupostos'!$F$31,"Média","Baixa")))</f>
        <v>Baixa</v>
      </c>
      <c r="AJ42" s="7" t="s">
        <v>358</v>
      </c>
      <c r="AK42" s="7" t="s">
        <v>215</v>
      </c>
      <c r="AL42" s="35" t="str">
        <f aca="false">IF(AK42="Prazo expirado","Prazo passado",IF(LEFT(AK42,11)="Monitorizar","Monitorizar",IF(Y42&gt;=3.5,"Prioridade",IF(Y42&gt;=3,"Candidatar (reach)","Reserva"))))</f>
        <v>Candidatar (reach)</v>
      </c>
      <c r="AM42" s="7" t="s">
        <v>548</v>
      </c>
      <c r="AN42" s="42" t="s">
        <v>551</v>
      </c>
      <c r="AO42" s="7" t="s">
        <v>187</v>
      </c>
      <c r="AP42" s="7" t="s">
        <v>218</v>
      </c>
      <c r="AQ42" s="7" t="n">
        <f aca="false">IF(OR(AK42="Prazo expirado",LEFT(AK42,11)="Monitorizar"),0,1)</f>
        <v>1</v>
      </c>
      <c r="AR42" s="41" t="n">
        <f aca="false">IF(AQ42=0,0,AH42)</f>
        <v>0.0076</v>
      </c>
      <c r="AS42" s="41" t="n">
        <f aca="false">AR42*W42/5</f>
        <v>0.0076</v>
      </c>
      <c r="AT42" s="43" t="n">
        <f aca="false">AS42+W42/1000000+(1000-ROW())/1000000000</f>
        <v>0.007605958</v>
      </c>
      <c r="AU42" s="35" t="n">
        <f aca="false">RANK(AT42,$AT$4:$AT$227)</f>
        <v>166</v>
      </c>
      <c r="AV42" s="40" t="n">
        <f aca="false">IF(AQ42=0,"",AF42)</f>
        <v>30</v>
      </c>
      <c r="AW42" s="41" t="n">
        <f aca="false">IF(AQ42=0,"",AH42)</f>
        <v>0.0076</v>
      </c>
    </row>
    <row r="43" customFormat="false" ht="45" hidden="false" customHeight="true" outlineLevel="0" collapsed="false">
      <c r="A43" s="35" t="n">
        <v>40</v>
      </c>
      <c r="B43" s="7" t="s">
        <v>349</v>
      </c>
      <c r="C43" s="7" t="s">
        <v>552</v>
      </c>
      <c r="D43" s="7" t="s">
        <v>169</v>
      </c>
      <c r="E43" s="7" t="s">
        <v>230</v>
      </c>
      <c r="F43" s="35" t="s">
        <v>85</v>
      </c>
      <c r="G43" s="7" t="s">
        <v>205</v>
      </c>
      <c r="H43" s="7" t="s">
        <v>172</v>
      </c>
      <c r="I43" s="7" t="s">
        <v>220</v>
      </c>
      <c r="J43" s="35" t="s">
        <v>363</v>
      </c>
      <c r="K43" s="7" t="s">
        <v>544</v>
      </c>
      <c r="L43" s="7" t="s">
        <v>545</v>
      </c>
      <c r="M43" s="7" t="s">
        <v>546</v>
      </c>
      <c r="N43" s="7" t="s">
        <v>215</v>
      </c>
      <c r="O43" s="7" t="s">
        <v>179</v>
      </c>
      <c r="P43" s="35" t="str">
        <f aca="true">IF(ISNUMBER(O43),O43-TODAY(),"")</f>
        <v/>
      </c>
      <c r="Q43" s="7" t="s">
        <v>179</v>
      </c>
      <c r="R43" s="36" t="n">
        <v>1500</v>
      </c>
      <c r="S43" s="36" t="n">
        <v>2500</v>
      </c>
      <c r="T43" s="37" t="n">
        <f aca="false">IF(R43="","",AVERAGE(R43,S43))</f>
        <v>2000</v>
      </c>
      <c r="U43" s="7" t="s">
        <v>547</v>
      </c>
      <c r="V43" s="38" t="s">
        <v>181</v>
      </c>
      <c r="W43" s="38" t="n">
        <v>5</v>
      </c>
      <c r="X43" s="38" t="n">
        <v>1.1</v>
      </c>
      <c r="Y43" s="35" t="n">
        <f aca="false">ROUND(0.6*W43+0.4*X43,1)</f>
        <v>3.4</v>
      </c>
      <c r="Z43" s="38" t="s">
        <v>213</v>
      </c>
      <c r="AA43" s="38" t="n">
        <v>1</v>
      </c>
      <c r="AB43" s="39" t="n">
        <f aca="false">1-AA43*(1-INDEX('Perfil e pressupostos'!$C$14:$C$20,MATCH(Z43,'Perfil e pressupostos'!$A$14:$A$20,0)))</f>
        <v>0.05</v>
      </c>
      <c r="AC43" s="38" t="n">
        <v>0.3</v>
      </c>
      <c r="AD43" s="38" t="n">
        <v>0.3</v>
      </c>
      <c r="AE43" s="38" t="n">
        <v>0.8</v>
      </c>
      <c r="AF43" s="40" t="n">
        <f aca="false">100*('Perfil e pressupostos'!$F$14*AB43+'Perfil e pressupostos'!$F$15*AC43+'Perfil e pressupostos'!$F$16*AD43+'Perfil e pressupostos'!$F$17*AE43)/'Perfil e pressupostos'!$F$18</f>
        <v>30</v>
      </c>
      <c r="AG43" s="41" t="n">
        <f aca="false">INDEX('Perfil e pressupostos'!$B$25:$B$28,MATCH(V43,'Perfil e pressupostos'!$A$25:$A$28,0))</f>
        <v>0.01</v>
      </c>
      <c r="AH43" s="41" t="n">
        <f aca="false">MIN('Perfil e pressupostos'!$F$29,AG43*('Perfil e pressupostos'!$F$25+'Perfil e pressupostos'!$F$26*AF43/100)*IF(AD43&lt;='Perfil e pressupostos'!$F$28,'Perfil e pressupostos'!$F$27,1))</f>
        <v>0.0076</v>
      </c>
      <c r="AI43" s="35" t="str">
        <f aca="false">IF(AQ43=0,"—",IF(AH43&gt;='Perfil e pressupostos'!$F$30,"Boa",IF(AH43&gt;='Perfil e pressupostos'!$F$31,"Média","Baixa")))</f>
        <v>Baixa</v>
      </c>
      <c r="AJ43" s="7" t="s">
        <v>358</v>
      </c>
      <c r="AK43" s="7" t="s">
        <v>215</v>
      </c>
      <c r="AL43" s="35" t="str">
        <f aca="false">IF(AK43="Prazo expirado","Prazo passado",IF(LEFT(AK43,11)="Monitorizar","Monitorizar",IF(Y43&gt;=3.5,"Prioridade",IF(Y43&gt;=3,"Candidatar (reach)","Reserva"))))</f>
        <v>Candidatar (reach)</v>
      </c>
      <c r="AM43" s="7" t="s">
        <v>548</v>
      </c>
      <c r="AN43" s="42" t="s">
        <v>553</v>
      </c>
      <c r="AO43" s="7" t="s">
        <v>187</v>
      </c>
      <c r="AP43" s="7" t="s">
        <v>218</v>
      </c>
      <c r="AQ43" s="7" t="n">
        <f aca="false">IF(OR(AK43="Prazo expirado",LEFT(AK43,11)="Monitorizar"),0,1)</f>
        <v>1</v>
      </c>
      <c r="AR43" s="41" t="n">
        <f aca="false">IF(AQ43=0,0,AH43)</f>
        <v>0.0076</v>
      </c>
      <c r="AS43" s="41" t="n">
        <f aca="false">AR43*W43/5</f>
        <v>0.0076</v>
      </c>
      <c r="AT43" s="43" t="n">
        <f aca="false">AS43+W43/1000000+(1000-ROW())/1000000000</f>
        <v>0.007605957</v>
      </c>
      <c r="AU43" s="35" t="n">
        <f aca="false">RANK(AT43,$AT$4:$AT$227)</f>
        <v>167</v>
      </c>
      <c r="AV43" s="40" t="n">
        <f aca="false">IF(AQ43=0,"",AF43)</f>
        <v>30</v>
      </c>
      <c r="AW43" s="41" t="n">
        <f aca="false">IF(AQ43=0,"",AH43)</f>
        <v>0.0076</v>
      </c>
    </row>
    <row r="44" customFormat="false" ht="45" hidden="false" customHeight="true" outlineLevel="0" collapsed="false">
      <c r="A44" s="35" t="n">
        <v>41</v>
      </c>
      <c r="B44" s="7" t="s">
        <v>349</v>
      </c>
      <c r="C44" s="7" t="s">
        <v>554</v>
      </c>
      <c r="D44" s="7" t="s">
        <v>169</v>
      </c>
      <c r="E44" s="7" t="s">
        <v>230</v>
      </c>
      <c r="F44" s="35" t="s">
        <v>85</v>
      </c>
      <c r="G44" s="7" t="s">
        <v>205</v>
      </c>
      <c r="H44" s="7" t="s">
        <v>172</v>
      </c>
      <c r="I44" s="7" t="s">
        <v>220</v>
      </c>
      <c r="J44" s="35" t="s">
        <v>363</v>
      </c>
      <c r="K44" s="7" t="s">
        <v>544</v>
      </c>
      <c r="L44" s="7" t="s">
        <v>545</v>
      </c>
      <c r="M44" s="7" t="s">
        <v>546</v>
      </c>
      <c r="N44" s="7" t="s">
        <v>215</v>
      </c>
      <c r="O44" s="7" t="s">
        <v>179</v>
      </c>
      <c r="P44" s="35" t="str">
        <f aca="true">IF(ISNUMBER(O44),O44-TODAY(),"")</f>
        <v/>
      </c>
      <c r="Q44" s="7" t="s">
        <v>179</v>
      </c>
      <c r="R44" s="36" t="n">
        <v>1500</v>
      </c>
      <c r="S44" s="36" t="n">
        <v>2500</v>
      </c>
      <c r="T44" s="37" t="n">
        <f aca="false">IF(R44="","",AVERAGE(R44,S44))</f>
        <v>2000</v>
      </c>
      <c r="U44" s="7" t="s">
        <v>547</v>
      </c>
      <c r="V44" s="38" t="s">
        <v>181</v>
      </c>
      <c r="W44" s="38" t="n">
        <v>5</v>
      </c>
      <c r="X44" s="38" t="n">
        <v>1.1</v>
      </c>
      <c r="Y44" s="35" t="n">
        <f aca="false">ROUND(0.6*W44+0.4*X44,1)</f>
        <v>3.4</v>
      </c>
      <c r="Z44" s="38" t="s">
        <v>213</v>
      </c>
      <c r="AA44" s="38" t="n">
        <v>1</v>
      </c>
      <c r="AB44" s="39" t="n">
        <f aca="false">1-AA44*(1-INDEX('Perfil e pressupostos'!$C$14:$C$20,MATCH(Z44,'Perfil e pressupostos'!$A$14:$A$20,0)))</f>
        <v>0.05</v>
      </c>
      <c r="AC44" s="38" t="n">
        <v>0.3</v>
      </c>
      <c r="AD44" s="38" t="n">
        <v>0.3</v>
      </c>
      <c r="AE44" s="38" t="n">
        <v>0.8</v>
      </c>
      <c r="AF44" s="40" t="n">
        <f aca="false">100*('Perfil e pressupostos'!$F$14*AB44+'Perfil e pressupostos'!$F$15*AC44+'Perfil e pressupostos'!$F$16*AD44+'Perfil e pressupostos'!$F$17*AE44)/'Perfil e pressupostos'!$F$18</f>
        <v>30</v>
      </c>
      <c r="AG44" s="41" t="n">
        <f aca="false">INDEX('Perfil e pressupostos'!$B$25:$B$28,MATCH(V44,'Perfil e pressupostos'!$A$25:$A$28,0))</f>
        <v>0.01</v>
      </c>
      <c r="AH44" s="41" t="n">
        <f aca="false">MIN('Perfil e pressupostos'!$F$29,AG44*('Perfil e pressupostos'!$F$25+'Perfil e pressupostos'!$F$26*AF44/100)*IF(AD44&lt;='Perfil e pressupostos'!$F$28,'Perfil e pressupostos'!$F$27,1))</f>
        <v>0.0076</v>
      </c>
      <c r="AI44" s="35" t="str">
        <f aca="false">IF(AQ44=0,"—",IF(AH44&gt;='Perfil e pressupostos'!$F$30,"Boa",IF(AH44&gt;='Perfil e pressupostos'!$F$31,"Média","Baixa")))</f>
        <v>Baixa</v>
      </c>
      <c r="AJ44" s="7" t="s">
        <v>358</v>
      </c>
      <c r="AK44" s="7" t="s">
        <v>215</v>
      </c>
      <c r="AL44" s="35" t="str">
        <f aca="false">IF(AK44="Prazo expirado","Prazo passado",IF(LEFT(AK44,11)="Monitorizar","Monitorizar",IF(Y44&gt;=3.5,"Prioridade",IF(Y44&gt;=3,"Candidatar (reach)","Reserva"))))</f>
        <v>Candidatar (reach)</v>
      </c>
      <c r="AM44" s="7" t="s">
        <v>548</v>
      </c>
      <c r="AN44" s="42" t="s">
        <v>555</v>
      </c>
      <c r="AO44" s="7" t="s">
        <v>187</v>
      </c>
      <c r="AP44" s="7" t="s">
        <v>218</v>
      </c>
      <c r="AQ44" s="7" t="n">
        <f aca="false">IF(OR(AK44="Prazo expirado",LEFT(AK44,11)="Monitorizar"),0,1)</f>
        <v>1</v>
      </c>
      <c r="AR44" s="41" t="n">
        <f aca="false">IF(AQ44=0,0,AH44)</f>
        <v>0.0076</v>
      </c>
      <c r="AS44" s="41" t="n">
        <f aca="false">AR44*W44/5</f>
        <v>0.0076</v>
      </c>
      <c r="AT44" s="43" t="n">
        <f aca="false">AS44+W44/1000000+(1000-ROW())/1000000000</f>
        <v>0.007605956</v>
      </c>
      <c r="AU44" s="35" t="n">
        <f aca="false">RANK(AT44,$AT$4:$AT$227)</f>
        <v>168</v>
      </c>
      <c r="AV44" s="40" t="n">
        <f aca="false">IF(AQ44=0,"",AF44)</f>
        <v>30</v>
      </c>
      <c r="AW44" s="41" t="n">
        <f aca="false">IF(AQ44=0,"",AH44)</f>
        <v>0.0076</v>
      </c>
    </row>
    <row r="45" customFormat="false" ht="45" hidden="false" customHeight="true" outlineLevel="0" collapsed="false">
      <c r="A45" s="35" t="n">
        <v>42</v>
      </c>
      <c r="B45" s="7" t="s">
        <v>349</v>
      </c>
      <c r="C45" s="7" t="s">
        <v>556</v>
      </c>
      <c r="D45" s="7" t="s">
        <v>169</v>
      </c>
      <c r="E45" s="7" t="s">
        <v>230</v>
      </c>
      <c r="F45" s="35" t="s">
        <v>85</v>
      </c>
      <c r="G45" s="7" t="s">
        <v>205</v>
      </c>
      <c r="H45" s="7" t="s">
        <v>172</v>
      </c>
      <c r="I45" s="7" t="s">
        <v>220</v>
      </c>
      <c r="J45" s="35" t="s">
        <v>363</v>
      </c>
      <c r="K45" s="7" t="s">
        <v>544</v>
      </c>
      <c r="L45" s="7" t="s">
        <v>545</v>
      </c>
      <c r="M45" s="7" t="s">
        <v>546</v>
      </c>
      <c r="N45" s="7" t="s">
        <v>215</v>
      </c>
      <c r="O45" s="7" t="s">
        <v>179</v>
      </c>
      <c r="P45" s="35" t="str">
        <f aca="true">IF(ISNUMBER(O45),O45-TODAY(),"")</f>
        <v/>
      </c>
      <c r="Q45" s="7" t="s">
        <v>179</v>
      </c>
      <c r="R45" s="36" t="n">
        <v>1500</v>
      </c>
      <c r="S45" s="36" t="n">
        <v>2500</v>
      </c>
      <c r="T45" s="37" t="n">
        <f aca="false">IF(R45="","",AVERAGE(R45,S45))</f>
        <v>2000</v>
      </c>
      <c r="U45" s="7" t="s">
        <v>547</v>
      </c>
      <c r="V45" s="38" t="s">
        <v>181</v>
      </c>
      <c r="W45" s="38" t="n">
        <v>4</v>
      </c>
      <c r="X45" s="38" t="n">
        <v>1.1</v>
      </c>
      <c r="Y45" s="35" t="n">
        <f aca="false">ROUND(0.6*W45+0.4*X45,1)</f>
        <v>2.8</v>
      </c>
      <c r="Z45" s="38" t="s">
        <v>213</v>
      </c>
      <c r="AA45" s="38" t="n">
        <v>1</v>
      </c>
      <c r="AB45" s="39" t="n">
        <f aca="false">1-AA45*(1-INDEX('Perfil e pressupostos'!$C$14:$C$20,MATCH(Z45,'Perfil e pressupostos'!$A$14:$A$20,0)))</f>
        <v>0.05</v>
      </c>
      <c r="AC45" s="38" t="n">
        <v>0.3</v>
      </c>
      <c r="AD45" s="38" t="n">
        <v>0.3</v>
      </c>
      <c r="AE45" s="38" t="n">
        <v>0.8</v>
      </c>
      <c r="AF45" s="40" t="n">
        <f aca="false">100*('Perfil e pressupostos'!$F$14*AB45+'Perfil e pressupostos'!$F$15*AC45+'Perfil e pressupostos'!$F$16*AD45+'Perfil e pressupostos'!$F$17*AE45)/'Perfil e pressupostos'!$F$18</f>
        <v>30</v>
      </c>
      <c r="AG45" s="41" t="n">
        <f aca="false">INDEX('Perfil e pressupostos'!$B$25:$B$28,MATCH(V45,'Perfil e pressupostos'!$A$25:$A$28,0))</f>
        <v>0.01</v>
      </c>
      <c r="AH45" s="41" t="n">
        <f aca="false">MIN('Perfil e pressupostos'!$F$29,AG45*('Perfil e pressupostos'!$F$25+'Perfil e pressupostos'!$F$26*AF45/100)*IF(AD45&lt;='Perfil e pressupostos'!$F$28,'Perfil e pressupostos'!$F$27,1))</f>
        <v>0.0076</v>
      </c>
      <c r="AI45" s="35" t="str">
        <f aca="false">IF(AQ45=0,"—",IF(AH45&gt;='Perfil e pressupostos'!$F$30,"Boa",IF(AH45&gt;='Perfil e pressupostos'!$F$31,"Média","Baixa")))</f>
        <v>Baixa</v>
      </c>
      <c r="AJ45" s="7" t="s">
        <v>358</v>
      </c>
      <c r="AK45" s="7" t="s">
        <v>215</v>
      </c>
      <c r="AL45" s="35" t="str">
        <f aca="false">IF(AK45="Prazo expirado","Prazo passado",IF(LEFT(AK45,11)="Monitorizar","Monitorizar",IF(Y45&gt;=3.5,"Prioridade",IF(Y45&gt;=3,"Candidatar (reach)","Reserva"))))</f>
        <v>Reserva</v>
      </c>
      <c r="AM45" s="7" t="s">
        <v>548</v>
      </c>
      <c r="AN45" s="42" t="s">
        <v>557</v>
      </c>
      <c r="AO45" s="7" t="s">
        <v>187</v>
      </c>
      <c r="AP45" s="7" t="s">
        <v>218</v>
      </c>
      <c r="AQ45" s="7" t="n">
        <f aca="false">IF(OR(AK45="Prazo expirado",LEFT(AK45,11)="Monitorizar"),0,1)</f>
        <v>1</v>
      </c>
      <c r="AR45" s="41" t="n">
        <f aca="false">IF(AQ45=0,0,AH45)</f>
        <v>0.0076</v>
      </c>
      <c r="AS45" s="41" t="n">
        <f aca="false">AR45*W45/5</f>
        <v>0.00608</v>
      </c>
      <c r="AT45" s="43" t="n">
        <f aca="false">AS45+W45/1000000+(1000-ROW())/1000000000</f>
        <v>0.006084955</v>
      </c>
      <c r="AU45" s="35" t="n">
        <f aca="false">RANK(AT45,$AT$4:$AT$227)</f>
        <v>185</v>
      </c>
      <c r="AV45" s="40" t="n">
        <f aca="false">IF(AQ45=0,"",AF45)</f>
        <v>30</v>
      </c>
      <c r="AW45" s="41" t="n">
        <f aca="false">IF(AQ45=0,"",AH45)</f>
        <v>0.0076</v>
      </c>
    </row>
    <row r="46" customFormat="false" ht="33.75" hidden="false" customHeight="true" outlineLevel="0" collapsed="false">
      <c r="A46" s="35" t="n">
        <v>43</v>
      </c>
      <c r="B46" s="7" t="s">
        <v>349</v>
      </c>
      <c r="C46" s="7" t="s">
        <v>558</v>
      </c>
      <c r="D46" s="7" t="s">
        <v>375</v>
      </c>
      <c r="E46" s="7" t="s">
        <v>230</v>
      </c>
      <c r="F46" s="35" t="s">
        <v>85</v>
      </c>
      <c r="G46" s="7" t="s">
        <v>205</v>
      </c>
      <c r="H46" s="7" t="s">
        <v>172</v>
      </c>
      <c r="I46" s="7" t="s">
        <v>173</v>
      </c>
      <c r="J46" s="35" t="s">
        <v>207</v>
      </c>
      <c r="K46" s="7" t="s">
        <v>559</v>
      </c>
      <c r="L46" s="7" t="s">
        <v>560</v>
      </c>
      <c r="M46" s="7" t="s">
        <v>546</v>
      </c>
      <c r="N46" s="7" t="s">
        <v>215</v>
      </c>
      <c r="O46" s="7" t="s">
        <v>179</v>
      </c>
      <c r="P46" s="35" t="str">
        <f aca="true">IF(ISNUMBER(O46),O46-TODAY(),"")</f>
        <v/>
      </c>
      <c r="Q46" s="7" t="s">
        <v>179</v>
      </c>
      <c r="R46" s="36" t="n">
        <v>1500</v>
      </c>
      <c r="S46" s="36" t="n">
        <v>2500</v>
      </c>
      <c r="T46" s="37" t="n">
        <f aca="false">IF(R46="","",AVERAGE(R46,S46))</f>
        <v>2000</v>
      </c>
      <c r="U46" s="7" t="s">
        <v>547</v>
      </c>
      <c r="V46" s="38" t="s">
        <v>181</v>
      </c>
      <c r="W46" s="38" t="n">
        <v>4</v>
      </c>
      <c r="X46" s="38" t="n">
        <v>1.1</v>
      </c>
      <c r="Y46" s="35" t="n">
        <f aca="false">ROUND(0.6*W46+0.4*X46,1)</f>
        <v>2.8</v>
      </c>
      <c r="Z46" s="38" t="s">
        <v>213</v>
      </c>
      <c r="AA46" s="38" t="n">
        <v>1</v>
      </c>
      <c r="AB46" s="39" t="n">
        <f aca="false">1-AA46*(1-INDEX('Perfil e pressupostos'!$C$14:$C$20,MATCH(Z46,'Perfil e pressupostos'!$A$14:$A$20,0)))</f>
        <v>0.05</v>
      </c>
      <c r="AC46" s="38" t="n">
        <v>0.3</v>
      </c>
      <c r="AD46" s="38" t="n">
        <v>0.3</v>
      </c>
      <c r="AE46" s="38" t="n">
        <v>0.8</v>
      </c>
      <c r="AF46" s="40" t="n">
        <f aca="false">100*('Perfil e pressupostos'!$F$14*AB46+'Perfil e pressupostos'!$F$15*AC46+'Perfil e pressupostos'!$F$16*AD46+'Perfil e pressupostos'!$F$17*AE46)/'Perfil e pressupostos'!$F$18</f>
        <v>30</v>
      </c>
      <c r="AG46" s="41" t="n">
        <f aca="false">INDEX('Perfil e pressupostos'!$B$25:$B$28,MATCH(V46,'Perfil e pressupostos'!$A$25:$A$28,0))</f>
        <v>0.01</v>
      </c>
      <c r="AH46" s="41" t="n">
        <f aca="false">MIN('Perfil e pressupostos'!$F$29,AG46*('Perfil e pressupostos'!$F$25+'Perfil e pressupostos'!$F$26*AF46/100)*IF(AD46&lt;='Perfil e pressupostos'!$F$28,'Perfil e pressupostos'!$F$27,1))</f>
        <v>0.0076</v>
      </c>
      <c r="AI46" s="35" t="str">
        <f aca="false">IF(AQ46=0,"—",IF(AH46&gt;='Perfil e pressupostos'!$F$30,"Boa",IF(AH46&gt;='Perfil e pressupostos'!$F$31,"Média","Baixa")))</f>
        <v>Baixa</v>
      </c>
      <c r="AJ46" s="7" t="s">
        <v>358</v>
      </c>
      <c r="AK46" s="7" t="s">
        <v>215</v>
      </c>
      <c r="AL46" s="35" t="str">
        <f aca="false">IF(AK46="Prazo expirado","Prazo passado",IF(LEFT(AK46,11)="Monitorizar","Monitorizar",IF(Y46&gt;=3.5,"Prioridade",IF(Y46&gt;=3,"Candidatar (reach)","Reserva"))))</f>
        <v>Reserva</v>
      </c>
      <c r="AM46" s="7" t="s">
        <v>548</v>
      </c>
      <c r="AN46" s="42" t="s">
        <v>561</v>
      </c>
      <c r="AO46" s="7" t="s">
        <v>361</v>
      </c>
      <c r="AP46" s="7" t="s">
        <v>218</v>
      </c>
      <c r="AQ46" s="7" t="n">
        <f aca="false">IF(OR(AK46="Prazo expirado",LEFT(AK46,11)="Monitorizar"),0,1)</f>
        <v>1</v>
      </c>
      <c r="AR46" s="41" t="n">
        <f aca="false">IF(AQ46=0,0,AH46)</f>
        <v>0.0076</v>
      </c>
      <c r="AS46" s="41" t="n">
        <f aca="false">AR46*W46/5</f>
        <v>0.00608</v>
      </c>
      <c r="AT46" s="43" t="n">
        <f aca="false">AS46+W46/1000000+(1000-ROW())/1000000000</f>
        <v>0.006084954</v>
      </c>
      <c r="AU46" s="35" t="n">
        <f aca="false">RANK(AT46,$AT$4:$AT$227)</f>
        <v>186</v>
      </c>
      <c r="AV46" s="40" t="n">
        <f aca="false">IF(AQ46=0,"",AF46)</f>
        <v>30</v>
      </c>
      <c r="AW46" s="41" t="n">
        <f aca="false">IF(AQ46=0,"",AH46)</f>
        <v>0.0076</v>
      </c>
    </row>
    <row r="47" customFormat="false" ht="45" hidden="false" customHeight="true" outlineLevel="0" collapsed="false">
      <c r="A47" s="35" t="n">
        <v>44</v>
      </c>
      <c r="B47" s="7" t="s">
        <v>349</v>
      </c>
      <c r="C47" s="7" t="s">
        <v>562</v>
      </c>
      <c r="D47" s="7" t="s">
        <v>563</v>
      </c>
      <c r="E47" s="7" t="s">
        <v>230</v>
      </c>
      <c r="F47" s="35" t="s">
        <v>85</v>
      </c>
      <c r="G47" s="7" t="s">
        <v>205</v>
      </c>
      <c r="H47" s="7" t="s">
        <v>172</v>
      </c>
      <c r="I47" s="7" t="s">
        <v>173</v>
      </c>
      <c r="J47" s="35" t="s">
        <v>207</v>
      </c>
      <c r="K47" s="7" t="s">
        <v>564</v>
      </c>
      <c r="L47" s="7" t="s">
        <v>565</v>
      </c>
      <c r="M47" s="7" t="s">
        <v>546</v>
      </c>
      <c r="N47" s="7" t="s">
        <v>215</v>
      </c>
      <c r="O47" s="7" t="s">
        <v>179</v>
      </c>
      <c r="P47" s="35" t="str">
        <f aca="true">IF(ISNUMBER(O47),O47-TODAY(),"")</f>
        <v/>
      </c>
      <c r="Q47" s="7" t="s">
        <v>179</v>
      </c>
      <c r="R47" s="36" t="n">
        <v>1500</v>
      </c>
      <c r="S47" s="36" t="n">
        <v>2500</v>
      </c>
      <c r="T47" s="37" t="n">
        <f aca="false">IF(R47="","",AVERAGE(R47,S47))</f>
        <v>2000</v>
      </c>
      <c r="U47" s="7" t="s">
        <v>547</v>
      </c>
      <c r="V47" s="38" t="s">
        <v>199</v>
      </c>
      <c r="W47" s="38" t="n">
        <v>3</v>
      </c>
      <c r="X47" s="38" t="n">
        <v>1.1</v>
      </c>
      <c r="Y47" s="35" t="n">
        <f aca="false">ROUND(0.6*W47+0.4*X47,1)</f>
        <v>2.2</v>
      </c>
      <c r="Z47" s="38" t="s">
        <v>213</v>
      </c>
      <c r="AA47" s="38" t="n">
        <v>1</v>
      </c>
      <c r="AB47" s="39" t="n">
        <f aca="false">1-AA47*(1-INDEX('Perfil e pressupostos'!$C$14:$C$20,MATCH(Z47,'Perfil e pressupostos'!$A$14:$A$20,0)))</f>
        <v>0.05</v>
      </c>
      <c r="AC47" s="38" t="n">
        <v>0.5</v>
      </c>
      <c r="AD47" s="38" t="n">
        <v>0.3</v>
      </c>
      <c r="AE47" s="38" t="n">
        <v>0.7</v>
      </c>
      <c r="AF47" s="40" t="n">
        <f aca="false">100*('Perfil e pressupostos'!$F$14*AB47+'Perfil e pressupostos'!$F$15*AC47+'Perfil e pressupostos'!$F$16*AD47+'Perfil e pressupostos'!$F$17*AE47)/'Perfil e pressupostos'!$F$18</f>
        <v>34.5</v>
      </c>
      <c r="AG47" s="41" t="n">
        <f aca="false">INDEX('Perfil e pressupostos'!$B$25:$B$28,MATCH(V47,'Perfil e pressupostos'!$A$25:$A$28,0))</f>
        <v>0.03</v>
      </c>
      <c r="AH47" s="41" t="n">
        <f aca="false">MIN('Perfil e pressupostos'!$F$29,AG47*('Perfil e pressupostos'!$F$25+'Perfil e pressupostos'!$F$26*AF47/100)*IF(AD47&lt;='Perfil e pressupostos'!$F$28,'Perfil e pressupostos'!$F$27,1))</f>
        <v>0.02442</v>
      </c>
      <c r="AI47" s="35" t="str">
        <f aca="false">IF(AQ47=0,"—",IF(AH47&gt;='Perfil e pressupostos'!$F$30,"Boa",IF(AH47&gt;='Perfil e pressupostos'!$F$31,"Média","Baixa")))</f>
        <v>Baixa</v>
      </c>
      <c r="AJ47" s="7" t="s">
        <v>358</v>
      </c>
      <c r="AK47" s="7" t="s">
        <v>215</v>
      </c>
      <c r="AL47" s="35" t="str">
        <f aca="false">IF(AK47="Prazo expirado","Prazo passado",IF(LEFT(AK47,11)="Monitorizar","Monitorizar",IF(Y47&gt;=3.5,"Prioridade",IF(Y47&gt;=3,"Candidatar (reach)","Reserva"))))</f>
        <v>Reserva</v>
      </c>
      <c r="AM47" s="7" t="s">
        <v>548</v>
      </c>
      <c r="AN47" s="42" t="s">
        <v>566</v>
      </c>
      <c r="AO47" s="7" t="s">
        <v>187</v>
      </c>
      <c r="AP47" s="7" t="s">
        <v>218</v>
      </c>
      <c r="AQ47" s="7" t="n">
        <f aca="false">IF(OR(AK47="Prazo expirado",LEFT(AK47,11)="Monitorizar"),0,1)</f>
        <v>1</v>
      </c>
      <c r="AR47" s="41" t="n">
        <f aca="false">IF(AQ47=0,0,AH47)</f>
        <v>0.02442</v>
      </c>
      <c r="AS47" s="41" t="n">
        <f aca="false">AR47*W47/5</f>
        <v>0.014652</v>
      </c>
      <c r="AT47" s="43" t="n">
        <f aca="false">AS47+W47/1000000+(1000-ROW())/1000000000</f>
        <v>0.014655953</v>
      </c>
      <c r="AU47" s="35" t="n">
        <f aca="false">RANK(AT47,$AT$4:$AT$227)</f>
        <v>95</v>
      </c>
      <c r="AV47" s="40" t="n">
        <f aca="false">IF(AQ47=0,"",AF47)</f>
        <v>34.5</v>
      </c>
      <c r="AW47" s="41" t="n">
        <f aca="false">IF(AQ47=0,"",AH47)</f>
        <v>0.02442</v>
      </c>
    </row>
    <row r="48" customFormat="false" ht="45" hidden="false" customHeight="true" outlineLevel="0" collapsed="false">
      <c r="A48" s="35" t="n">
        <v>45</v>
      </c>
      <c r="B48" s="7" t="s">
        <v>349</v>
      </c>
      <c r="C48" s="7" t="s">
        <v>567</v>
      </c>
      <c r="D48" s="7" t="s">
        <v>568</v>
      </c>
      <c r="E48" s="7" t="s">
        <v>230</v>
      </c>
      <c r="F48" s="35" t="s">
        <v>85</v>
      </c>
      <c r="G48" s="7" t="s">
        <v>205</v>
      </c>
      <c r="H48" s="7" t="s">
        <v>172</v>
      </c>
      <c r="I48" s="7" t="s">
        <v>173</v>
      </c>
      <c r="J48" s="35" t="s">
        <v>207</v>
      </c>
      <c r="K48" s="7" t="s">
        <v>569</v>
      </c>
      <c r="L48" s="7" t="s">
        <v>570</v>
      </c>
      <c r="M48" s="7" t="s">
        <v>546</v>
      </c>
      <c r="N48" s="7" t="s">
        <v>215</v>
      </c>
      <c r="O48" s="7" t="s">
        <v>179</v>
      </c>
      <c r="P48" s="35" t="str">
        <f aca="true">IF(ISNUMBER(O48),O48-TODAY(),"")</f>
        <v/>
      </c>
      <c r="Q48" s="7" t="s">
        <v>179</v>
      </c>
      <c r="R48" s="36" t="n">
        <v>1500</v>
      </c>
      <c r="S48" s="36" t="n">
        <v>2500</v>
      </c>
      <c r="T48" s="37" t="n">
        <f aca="false">IF(R48="","",AVERAGE(R48,S48))</f>
        <v>2000</v>
      </c>
      <c r="U48" s="7" t="s">
        <v>547</v>
      </c>
      <c r="V48" s="38" t="s">
        <v>199</v>
      </c>
      <c r="W48" s="38" t="n">
        <v>2.5</v>
      </c>
      <c r="X48" s="38" t="n">
        <v>1.1</v>
      </c>
      <c r="Y48" s="35" t="n">
        <f aca="false">ROUND(0.6*W48+0.4*X48,1)</f>
        <v>1.9</v>
      </c>
      <c r="Z48" s="38" t="s">
        <v>213</v>
      </c>
      <c r="AA48" s="38" t="n">
        <v>1</v>
      </c>
      <c r="AB48" s="39" t="n">
        <f aca="false">1-AA48*(1-INDEX('Perfil e pressupostos'!$C$14:$C$20,MATCH(Z48,'Perfil e pressupostos'!$A$14:$A$20,0)))</f>
        <v>0.05</v>
      </c>
      <c r="AC48" s="38" t="n">
        <v>0.5</v>
      </c>
      <c r="AD48" s="38" t="n">
        <v>0.3</v>
      </c>
      <c r="AE48" s="38" t="n">
        <v>0.7</v>
      </c>
      <c r="AF48" s="40" t="n">
        <f aca="false">100*('Perfil e pressupostos'!$F$14*AB48+'Perfil e pressupostos'!$F$15*AC48+'Perfil e pressupostos'!$F$16*AD48+'Perfil e pressupostos'!$F$17*AE48)/'Perfil e pressupostos'!$F$18</f>
        <v>34.5</v>
      </c>
      <c r="AG48" s="41" t="n">
        <f aca="false">INDEX('Perfil e pressupostos'!$B$25:$B$28,MATCH(V48,'Perfil e pressupostos'!$A$25:$A$28,0))</f>
        <v>0.03</v>
      </c>
      <c r="AH48" s="41" t="n">
        <f aca="false">MIN('Perfil e pressupostos'!$F$29,AG48*('Perfil e pressupostos'!$F$25+'Perfil e pressupostos'!$F$26*AF48/100)*IF(AD48&lt;='Perfil e pressupostos'!$F$28,'Perfil e pressupostos'!$F$27,1))</f>
        <v>0.02442</v>
      </c>
      <c r="AI48" s="35" t="str">
        <f aca="false">IF(AQ48=0,"—",IF(AH48&gt;='Perfil e pressupostos'!$F$30,"Boa",IF(AH48&gt;='Perfil e pressupostos'!$F$31,"Média","Baixa")))</f>
        <v>Baixa</v>
      </c>
      <c r="AJ48" s="7" t="s">
        <v>358</v>
      </c>
      <c r="AK48" s="7" t="s">
        <v>215</v>
      </c>
      <c r="AL48" s="35" t="str">
        <f aca="false">IF(AK48="Prazo expirado","Prazo passado",IF(LEFT(AK48,11)="Monitorizar","Monitorizar",IF(Y48&gt;=3.5,"Prioridade",IF(Y48&gt;=3,"Candidatar (reach)","Reserva"))))</f>
        <v>Reserva</v>
      </c>
      <c r="AM48" s="7" t="s">
        <v>548</v>
      </c>
      <c r="AN48" s="42" t="s">
        <v>571</v>
      </c>
      <c r="AO48" s="7" t="s">
        <v>361</v>
      </c>
      <c r="AP48" s="7" t="s">
        <v>218</v>
      </c>
      <c r="AQ48" s="7" t="n">
        <f aca="false">IF(OR(AK48="Prazo expirado",LEFT(AK48,11)="Monitorizar"),0,1)</f>
        <v>1</v>
      </c>
      <c r="AR48" s="41" t="n">
        <f aca="false">IF(AQ48=0,0,AH48)</f>
        <v>0.02442</v>
      </c>
      <c r="AS48" s="41" t="n">
        <f aca="false">AR48*W48/5</f>
        <v>0.01221</v>
      </c>
      <c r="AT48" s="43" t="n">
        <f aca="false">AS48+W48/1000000+(1000-ROW())/1000000000</f>
        <v>0.012213452</v>
      </c>
      <c r="AU48" s="35" t="n">
        <f aca="false">RANK(AT48,$AT$4:$AT$227)</f>
        <v>99</v>
      </c>
      <c r="AV48" s="40" t="n">
        <f aca="false">IF(AQ48=0,"",AF48)</f>
        <v>34.5</v>
      </c>
      <c r="AW48" s="41" t="n">
        <f aca="false">IF(AQ48=0,"",AH48)</f>
        <v>0.02442</v>
      </c>
    </row>
    <row r="49" customFormat="false" ht="33.75" hidden="false" customHeight="true" outlineLevel="0" collapsed="false">
      <c r="A49" s="35" t="n">
        <v>46</v>
      </c>
      <c r="B49" s="7" t="s">
        <v>349</v>
      </c>
      <c r="C49" s="7" t="s">
        <v>572</v>
      </c>
      <c r="D49" s="7" t="s">
        <v>568</v>
      </c>
      <c r="E49" s="7" t="s">
        <v>230</v>
      </c>
      <c r="F49" s="35" t="s">
        <v>85</v>
      </c>
      <c r="G49" s="7" t="s">
        <v>205</v>
      </c>
      <c r="H49" s="7" t="s">
        <v>172</v>
      </c>
      <c r="I49" s="7" t="s">
        <v>173</v>
      </c>
      <c r="J49" s="35" t="s">
        <v>207</v>
      </c>
      <c r="K49" s="7" t="s">
        <v>569</v>
      </c>
      <c r="L49" s="7" t="s">
        <v>570</v>
      </c>
      <c r="M49" s="7" t="s">
        <v>546</v>
      </c>
      <c r="N49" s="7" t="s">
        <v>215</v>
      </c>
      <c r="O49" s="7" t="s">
        <v>179</v>
      </c>
      <c r="P49" s="35" t="str">
        <f aca="true">IF(ISNUMBER(O49),O49-TODAY(),"")</f>
        <v/>
      </c>
      <c r="Q49" s="7" t="s">
        <v>179</v>
      </c>
      <c r="R49" s="36" t="n">
        <v>1500</v>
      </c>
      <c r="S49" s="36" t="n">
        <v>2500</v>
      </c>
      <c r="T49" s="37" t="n">
        <f aca="false">IF(R49="","",AVERAGE(R49,S49))</f>
        <v>2000</v>
      </c>
      <c r="U49" s="7" t="s">
        <v>547</v>
      </c>
      <c r="V49" s="38" t="s">
        <v>199</v>
      </c>
      <c r="W49" s="38" t="n">
        <v>2.5</v>
      </c>
      <c r="X49" s="38" t="n">
        <v>1.1</v>
      </c>
      <c r="Y49" s="35" t="n">
        <f aca="false">ROUND(0.6*W49+0.4*X49,1)</f>
        <v>1.9</v>
      </c>
      <c r="Z49" s="38" t="s">
        <v>213</v>
      </c>
      <c r="AA49" s="38" t="n">
        <v>1</v>
      </c>
      <c r="AB49" s="39" t="n">
        <f aca="false">1-AA49*(1-INDEX('Perfil e pressupostos'!$C$14:$C$20,MATCH(Z49,'Perfil e pressupostos'!$A$14:$A$20,0)))</f>
        <v>0.05</v>
      </c>
      <c r="AC49" s="38" t="n">
        <v>0.5</v>
      </c>
      <c r="AD49" s="38" t="n">
        <v>0.3</v>
      </c>
      <c r="AE49" s="38" t="n">
        <v>0.7</v>
      </c>
      <c r="AF49" s="40" t="n">
        <f aca="false">100*('Perfil e pressupostos'!$F$14*AB49+'Perfil e pressupostos'!$F$15*AC49+'Perfil e pressupostos'!$F$16*AD49+'Perfil e pressupostos'!$F$17*AE49)/'Perfil e pressupostos'!$F$18</f>
        <v>34.5</v>
      </c>
      <c r="AG49" s="41" t="n">
        <f aca="false">INDEX('Perfil e pressupostos'!$B$25:$B$28,MATCH(V49,'Perfil e pressupostos'!$A$25:$A$28,0))</f>
        <v>0.03</v>
      </c>
      <c r="AH49" s="41" t="n">
        <f aca="false">MIN('Perfil e pressupostos'!$F$29,AG49*('Perfil e pressupostos'!$F$25+'Perfil e pressupostos'!$F$26*AF49/100)*IF(AD49&lt;='Perfil e pressupostos'!$F$28,'Perfil e pressupostos'!$F$27,1))</f>
        <v>0.02442</v>
      </c>
      <c r="AI49" s="35" t="str">
        <f aca="false">IF(AQ49=0,"—",IF(AH49&gt;='Perfil e pressupostos'!$F$30,"Boa",IF(AH49&gt;='Perfil e pressupostos'!$F$31,"Média","Baixa")))</f>
        <v>Baixa</v>
      </c>
      <c r="AJ49" s="7" t="s">
        <v>358</v>
      </c>
      <c r="AK49" s="7" t="s">
        <v>215</v>
      </c>
      <c r="AL49" s="35" t="str">
        <f aca="false">IF(AK49="Prazo expirado","Prazo passado",IF(LEFT(AK49,11)="Monitorizar","Monitorizar",IF(Y49&gt;=3.5,"Prioridade",IF(Y49&gt;=3,"Candidatar (reach)","Reserva"))))</f>
        <v>Reserva</v>
      </c>
      <c r="AM49" s="7" t="s">
        <v>548</v>
      </c>
      <c r="AN49" s="42" t="s">
        <v>573</v>
      </c>
      <c r="AO49" s="7" t="s">
        <v>361</v>
      </c>
      <c r="AP49" s="7" t="s">
        <v>218</v>
      </c>
      <c r="AQ49" s="7" t="n">
        <f aca="false">IF(OR(AK49="Prazo expirado",LEFT(AK49,11)="Monitorizar"),0,1)</f>
        <v>1</v>
      </c>
      <c r="AR49" s="41" t="n">
        <f aca="false">IF(AQ49=0,0,AH49)</f>
        <v>0.02442</v>
      </c>
      <c r="AS49" s="41" t="n">
        <f aca="false">AR49*W49/5</f>
        <v>0.01221</v>
      </c>
      <c r="AT49" s="43" t="n">
        <f aca="false">AS49+W49/1000000+(1000-ROW())/1000000000</f>
        <v>0.012213451</v>
      </c>
      <c r="AU49" s="35" t="n">
        <f aca="false">RANK(AT49,$AT$4:$AT$227)</f>
        <v>100</v>
      </c>
      <c r="AV49" s="40" t="n">
        <f aca="false">IF(AQ49=0,"",AF49)</f>
        <v>34.5</v>
      </c>
      <c r="AW49" s="41" t="n">
        <f aca="false">IF(AQ49=0,"",AH49)</f>
        <v>0.02442</v>
      </c>
    </row>
    <row r="50" customFormat="false" ht="45" hidden="false" customHeight="true" outlineLevel="0" collapsed="false">
      <c r="A50" s="35" t="n">
        <v>47</v>
      </c>
      <c r="B50" s="7" t="s">
        <v>349</v>
      </c>
      <c r="C50" s="7" t="s">
        <v>574</v>
      </c>
      <c r="D50" s="7" t="s">
        <v>563</v>
      </c>
      <c r="E50" s="7" t="s">
        <v>230</v>
      </c>
      <c r="F50" s="35" t="s">
        <v>95</v>
      </c>
      <c r="G50" s="7" t="s">
        <v>575</v>
      </c>
      <c r="H50" s="7" t="s">
        <v>172</v>
      </c>
      <c r="I50" s="7" t="s">
        <v>443</v>
      </c>
      <c r="J50" s="35" t="s">
        <v>207</v>
      </c>
      <c r="K50" s="7" t="s">
        <v>564</v>
      </c>
      <c r="L50" s="7" t="s">
        <v>565</v>
      </c>
      <c r="M50" s="7" t="s">
        <v>576</v>
      </c>
      <c r="N50" s="7" t="s">
        <v>215</v>
      </c>
      <c r="O50" s="7" t="s">
        <v>179</v>
      </c>
      <c r="P50" s="35" t="str">
        <f aca="true">IF(ISNUMBER(O50),O50-TODAY(),"")</f>
        <v/>
      </c>
      <c r="Q50" s="7" t="s">
        <v>179</v>
      </c>
      <c r="R50" s="36" t="n">
        <v>3000</v>
      </c>
      <c r="S50" s="36" t="n">
        <v>4500</v>
      </c>
      <c r="T50" s="37" t="n">
        <f aca="false">IF(R50="","",AVERAGE(R50,S50))</f>
        <v>3750</v>
      </c>
      <c r="U50" s="7" t="s">
        <v>547</v>
      </c>
      <c r="V50" s="38" t="s">
        <v>199</v>
      </c>
      <c r="W50" s="38" t="n">
        <v>3</v>
      </c>
      <c r="X50" s="38" t="n">
        <v>1.6</v>
      </c>
      <c r="Y50" s="35" t="n">
        <f aca="false">ROUND(0.6*W50+0.4*X50,1)</f>
        <v>2.4</v>
      </c>
      <c r="Z50" s="38" t="s">
        <v>304</v>
      </c>
      <c r="AA50" s="38" t="n">
        <v>0.3</v>
      </c>
      <c r="AB50" s="39" t="n">
        <f aca="false">1-AA50*(1-INDEX('Perfil e pressupostos'!$C$14:$C$20,MATCH(Z50,'Perfil e pressupostos'!$A$14:$A$20,0)))</f>
        <v>0.715</v>
      </c>
      <c r="AC50" s="38" t="n">
        <v>0.5</v>
      </c>
      <c r="AD50" s="38" t="n">
        <v>0.4</v>
      </c>
      <c r="AE50" s="38" t="n">
        <v>0.7</v>
      </c>
      <c r="AF50" s="40" t="n">
        <f aca="false">100*('Perfil e pressupostos'!$F$14*AB50+'Perfil e pressupostos'!$F$15*AC50+'Perfil e pressupostos'!$F$16*AD50+'Perfil e pressupostos'!$F$17*AE50)/'Perfil e pressupostos'!$F$18</f>
        <v>56.95</v>
      </c>
      <c r="AG50" s="41" t="n">
        <f aca="false">INDEX('Perfil e pressupostos'!$B$25:$B$28,MATCH(V50,'Perfil e pressupostos'!$A$25:$A$28,0))</f>
        <v>0.03</v>
      </c>
      <c r="AH50" s="41" t="n">
        <f aca="false">MIN('Perfil e pressupostos'!$F$29,AG50*('Perfil e pressupostos'!$F$25+'Perfil e pressupostos'!$F$26*AF50/100)*IF(AD50&lt;='Perfil e pressupostos'!$F$28,'Perfil e pressupostos'!$F$27,1))</f>
        <v>0.032502</v>
      </c>
      <c r="AI50" s="35" t="str">
        <f aca="false">IF(AQ50=0,"—",IF(AH50&gt;='Perfil e pressupostos'!$F$30,"Boa",IF(AH50&gt;='Perfil e pressupostos'!$F$31,"Média","Baixa")))</f>
        <v>Média</v>
      </c>
      <c r="AJ50" s="7" t="s">
        <v>577</v>
      </c>
      <c r="AK50" s="7" t="s">
        <v>215</v>
      </c>
      <c r="AL50" s="35" t="str">
        <f aca="false">IF(AK50="Prazo expirado","Prazo passado",IF(LEFT(AK50,11)="Monitorizar","Monitorizar",IF(Y50&gt;=3.5,"Prioridade",IF(Y50&gt;=3,"Candidatar (reach)","Reserva"))))</f>
        <v>Reserva</v>
      </c>
      <c r="AM50" s="7" t="s">
        <v>548</v>
      </c>
      <c r="AN50" s="42" t="s">
        <v>578</v>
      </c>
      <c r="AO50" s="7" t="s">
        <v>187</v>
      </c>
      <c r="AP50" s="7" t="s">
        <v>218</v>
      </c>
      <c r="AQ50" s="7" t="n">
        <f aca="false">IF(OR(AK50="Prazo expirado",LEFT(AK50,11)="Monitorizar"),0,1)</f>
        <v>1</v>
      </c>
      <c r="AR50" s="41" t="n">
        <f aca="false">IF(AQ50=0,0,AH50)</f>
        <v>0.032502</v>
      </c>
      <c r="AS50" s="41" t="n">
        <f aca="false">AR50*W50/5</f>
        <v>0.0195012</v>
      </c>
      <c r="AT50" s="43" t="n">
        <f aca="false">AS50+W50/1000000+(1000-ROW())/1000000000</f>
        <v>0.01950515</v>
      </c>
      <c r="AU50" s="35" t="n">
        <f aca="false">RANK(AT50,$AT$4:$AT$227)</f>
        <v>83</v>
      </c>
      <c r="AV50" s="40" t="n">
        <f aca="false">IF(AQ50=0,"",AF50)</f>
        <v>56.95</v>
      </c>
      <c r="AW50" s="41" t="n">
        <f aca="false">IF(AQ50=0,"",AH50)</f>
        <v>0.032502</v>
      </c>
    </row>
    <row r="51" customFormat="false" ht="33.75" hidden="false" customHeight="true" outlineLevel="0" collapsed="false">
      <c r="A51" s="35" t="n">
        <v>48</v>
      </c>
      <c r="B51" s="7" t="s">
        <v>349</v>
      </c>
      <c r="C51" s="7" t="s">
        <v>579</v>
      </c>
      <c r="D51" s="7" t="s">
        <v>568</v>
      </c>
      <c r="E51" s="7" t="s">
        <v>230</v>
      </c>
      <c r="F51" s="35" t="s">
        <v>95</v>
      </c>
      <c r="G51" s="7" t="s">
        <v>575</v>
      </c>
      <c r="H51" s="7" t="s">
        <v>172</v>
      </c>
      <c r="I51" s="7" t="s">
        <v>173</v>
      </c>
      <c r="J51" s="35" t="s">
        <v>207</v>
      </c>
      <c r="K51" s="7" t="s">
        <v>569</v>
      </c>
      <c r="L51" s="7" t="s">
        <v>570</v>
      </c>
      <c r="M51" s="7" t="s">
        <v>576</v>
      </c>
      <c r="N51" s="7" t="s">
        <v>215</v>
      </c>
      <c r="O51" s="7" t="s">
        <v>179</v>
      </c>
      <c r="P51" s="35" t="str">
        <f aca="true">IF(ISNUMBER(O51),O51-TODAY(),"")</f>
        <v/>
      </c>
      <c r="Q51" s="7" t="s">
        <v>179</v>
      </c>
      <c r="R51" s="36" t="n">
        <v>3000</v>
      </c>
      <c r="S51" s="36" t="n">
        <v>4500</v>
      </c>
      <c r="T51" s="37" t="n">
        <f aca="false">IF(R51="","",AVERAGE(R51,S51))</f>
        <v>3750</v>
      </c>
      <c r="U51" s="7" t="s">
        <v>547</v>
      </c>
      <c r="V51" s="38" t="s">
        <v>199</v>
      </c>
      <c r="W51" s="38" t="n">
        <v>2.5</v>
      </c>
      <c r="X51" s="38" t="n">
        <v>1.6</v>
      </c>
      <c r="Y51" s="35" t="n">
        <f aca="false">ROUND(0.6*W51+0.4*X51,1)</f>
        <v>2.1</v>
      </c>
      <c r="Z51" s="38" t="s">
        <v>304</v>
      </c>
      <c r="AA51" s="38" t="n">
        <v>0.3</v>
      </c>
      <c r="AB51" s="39" t="n">
        <f aca="false">1-AA51*(1-INDEX('Perfil e pressupostos'!$C$14:$C$20,MATCH(Z51,'Perfil e pressupostos'!$A$14:$A$20,0)))</f>
        <v>0.715</v>
      </c>
      <c r="AC51" s="38" t="n">
        <v>0.5</v>
      </c>
      <c r="AD51" s="38" t="n">
        <v>0.4</v>
      </c>
      <c r="AE51" s="38" t="n">
        <v>0.7</v>
      </c>
      <c r="AF51" s="40" t="n">
        <f aca="false">100*('Perfil e pressupostos'!$F$14*AB51+'Perfil e pressupostos'!$F$15*AC51+'Perfil e pressupostos'!$F$16*AD51+'Perfil e pressupostos'!$F$17*AE51)/'Perfil e pressupostos'!$F$18</f>
        <v>56.95</v>
      </c>
      <c r="AG51" s="41" t="n">
        <f aca="false">INDEX('Perfil e pressupostos'!$B$25:$B$28,MATCH(V51,'Perfil e pressupostos'!$A$25:$A$28,0))</f>
        <v>0.03</v>
      </c>
      <c r="AH51" s="41" t="n">
        <f aca="false">MIN('Perfil e pressupostos'!$F$29,AG51*('Perfil e pressupostos'!$F$25+'Perfil e pressupostos'!$F$26*AF51/100)*IF(AD51&lt;='Perfil e pressupostos'!$F$28,'Perfil e pressupostos'!$F$27,1))</f>
        <v>0.032502</v>
      </c>
      <c r="AI51" s="35" t="str">
        <f aca="false">IF(AQ51=0,"—",IF(AH51&gt;='Perfil e pressupostos'!$F$30,"Boa",IF(AH51&gt;='Perfil e pressupostos'!$F$31,"Média","Baixa")))</f>
        <v>Média</v>
      </c>
      <c r="AJ51" s="7" t="s">
        <v>577</v>
      </c>
      <c r="AK51" s="7" t="s">
        <v>215</v>
      </c>
      <c r="AL51" s="35" t="str">
        <f aca="false">IF(AK51="Prazo expirado","Prazo passado",IF(LEFT(AK51,11)="Monitorizar","Monitorizar",IF(Y51&gt;=3.5,"Prioridade",IF(Y51&gt;=3,"Candidatar (reach)","Reserva"))))</f>
        <v>Reserva</v>
      </c>
      <c r="AM51" s="7" t="s">
        <v>548</v>
      </c>
      <c r="AN51" s="42" t="s">
        <v>580</v>
      </c>
      <c r="AO51" s="7" t="s">
        <v>187</v>
      </c>
      <c r="AP51" s="7" t="s">
        <v>218</v>
      </c>
      <c r="AQ51" s="7" t="n">
        <f aca="false">IF(OR(AK51="Prazo expirado",LEFT(AK51,11)="Monitorizar"),0,1)</f>
        <v>1</v>
      </c>
      <c r="AR51" s="41" t="n">
        <f aca="false">IF(AQ51=0,0,AH51)</f>
        <v>0.032502</v>
      </c>
      <c r="AS51" s="41" t="n">
        <f aca="false">AR51*W51/5</f>
        <v>0.016251</v>
      </c>
      <c r="AT51" s="43" t="n">
        <f aca="false">AS51+W51/1000000+(1000-ROW())/1000000000</f>
        <v>0.016254449</v>
      </c>
      <c r="AU51" s="35" t="n">
        <f aca="false">RANK(AT51,$AT$4:$AT$227)</f>
        <v>92</v>
      </c>
      <c r="AV51" s="40" t="n">
        <f aca="false">IF(AQ51=0,"",AF51)</f>
        <v>56.95</v>
      </c>
      <c r="AW51" s="41" t="n">
        <f aca="false">IF(AQ51=0,"",AH51)</f>
        <v>0.032502</v>
      </c>
    </row>
    <row r="52" customFormat="false" ht="45" hidden="false" customHeight="true" outlineLevel="0" collapsed="false">
      <c r="A52" s="35" t="n">
        <v>49</v>
      </c>
      <c r="B52" s="7" t="s">
        <v>349</v>
      </c>
      <c r="C52" s="7" t="s">
        <v>581</v>
      </c>
      <c r="D52" s="7" t="s">
        <v>582</v>
      </c>
      <c r="E52" s="7" t="s">
        <v>230</v>
      </c>
      <c r="F52" s="35" t="s">
        <v>91</v>
      </c>
      <c r="G52" s="7" t="s">
        <v>91</v>
      </c>
      <c r="H52" s="7" t="s">
        <v>172</v>
      </c>
      <c r="I52" s="7" t="s">
        <v>173</v>
      </c>
      <c r="J52" s="35" t="s">
        <v>207</v>
      </c>
      <c r="K52" s="7" t="s">
        <v>583</v>
      </c>
      <c r="L52" s="7" t="s">
        <v>584</v>
      </c>
      <c r="M52" s="7" t="s">
        <v>546</v>
      </c>
      <c r="N52" s="7" t="s">
        <v>215</v>
      </c>
      <c r="O52" s="7" t="s">
        <v>179</v>
      </c>
      <c r="P52" s="35" t="str">
        <f aca="true">IF(ISNUMBER(O52),O52-TODAY(),"")</f>
        <v/>
      </c>
      <c r="Q52" s="7" t="s">
        <v>179</v>
      </c>
      <c r="R52" s="36" t="n">
        <v>1800</v>
      </c>
      <c r="S52" s="36" t="n">
        <v>2500</v>
      </c>
      <c r="T52" s="37" t="n">
        <f aca="false">IF(R52="","",AVERAGE(R52,S52))</f>
        <v>2150</v>
      </c>
      <c r="U52" s="7" t="s">
        <v>547</v>
      </c>
      <c r="V52" s="38" t="s">
        <v>199</v>
      </c>
      <c r="W52" s="38" t="n">
        <v>3.5</v>
      </c>
      <c r="X52" s="38" t="n">
        <v>1.4</v>
      </c>
      <c r="Y52" s="35" t="n">
        <f aca="false">ROUND(0.6*W52+0.4*X52,1)</f>
        <v>2.7</v>
      </c>
      <c r="Z52" s="38" t="s">
        <v>213</v>
      </c>
      <c r="AA52" s="38" t="n">
        <v>0.5</v>
      </c>
      <c r="AB52" s="39" t="n">
        <f aca="false">1-AA52*(1-INDEX('Perfil e pressupostos'!$C$14:$C$20,MATCH(Z52,'Perfil e pressupostos'!$A$14:$A$20,0)))</f>
        <v>0.525</v>
      </c>
      <c r="AC52" s="38" t="n">
        <v>0.5</v>
      </c>
      <c r="AD52" s="38" t="n">
        <v>0.4</v>
      </c>
      <c r="AE52" s="38" t="n">
        <v>0.7</v>
      </c>
      <c r="AF52" s="40" t="n">
        <f aca="false">100*('Perfil e pressupostos'!$F$14*AB52+'Perfil e pressupostos'!$F$15*AC52+'Perfil e pressupostos'!$F$16*AD52+'Perfil e pressupostos'!$F$17*AE52)/'Perfil e pressupostos'!$F$18</f>
        <v>51.25</v>
      </c>
      <c r="AG52" s="41" t="n">
        <f aca="false">INDEX('Perfil e pressupostos'!$B$25:$B$28,MATCH(V52,'Perfil e pressupostos'!$A$25:$A$28,0))</f>
        <v>0.03</v>
      </c>
      <c r="AH52" s="41" t="n">
        <f aca="false">MIN('Perfil e pressupostos'!$F$29,AG52*('Perfil e pressupostos'!$F$25+'Perfil e pressupostos'!$F$26*AF52/100)*IF(AD52&lt;='Perfil e pressupostos'!$F$28,'Perfil e pressupostos'!$F$27,1))</f>
        <v>0.03045</v>
      </c>
      <c r="AI52" s="35" t="str">
        <f aca="false">IF(AQ52=0,"—",IF(AH52&gt;='Perfil e pressupostos'!$F$30,"Boa",IF(AH52&gt;='Perfil e pressupostos'!$F$31,"Média","Baixa")))</f>
        <v>Média</v>
      </c>
      <c r="AJ52" s="7" t="s">
        <v>453</v>
      </c>
      <c r="AK52" s="7" t="s">
        <v>215</v>
      </c>
      <c r="AL52" s="35" t="str">
        <f aca="false">IF(AK52="Prazo expirado","Prazo passado",IF(LEFT(AK52,11)="Monitorizar","Monitorizar",IF(Y52&gt;=3.5,"Prioridade",IF(Y52&gt;=3,"Candidatar (reach)","Reserva"))))</f>
        <v>Reserva</v>
      </c>
      <c r="AM52" s="7" t="s">
        <v>548</v>
      </c>
      <c r="AN52" s="42" t="s">
        <v>585</v>
      </c>
      <c r="AO52" s="7" t="s">
        <v>187</v>
      </c>
      <c r="AP52" s="7" t="s">
        <v>218</v>
      </c>
      <c r="AQ52" s="7" t="n">
        <f aca="false">IF(OR(AK52="Prazo expirado",LEFT(AK52,11)="Monitorizar"),0,1)</f>
        <v>1</v>
      </c>
      <c r="AR52" s="41" t="n">
        <f aca="false">IF(AQ52=0,0,AH52)</f>
        <v>0.03045</v>
      </c>
      <c r="AS52" s="41" t="n">
        <f aca="false">AR52*W52/5</f>
        <v>0.021315</v>
      </c>
      <c r="AT52" s="43" t="n">
        <f aca="false">AS52+W52/1000000+(1000-ROW())/1000000000</f>
        <v>0.021319448</v>
      </c>
      <c r="AU52" s="35" t="n">
        <f aca="false">RANK(AT52,$AT$4:$AT$227)</f>
        <v>75</v>
      </c>
      <c r="AV52" s="40" t="n">
        <f aca="false">IF(AQ52=0,"",AF52)</f>
        <v>51.25</v>
      </c>
      <c r="AW52" s="41" t="n">
        <f aca="false">IF(AQ52=0,"",AH52)</f>
        <v>0.03045</v>
      </c>
    </row>
    <row r="53" customFormat="false" ht="33.75" hidden="false" customHeight="true" outlineLevel="0" collapsed="false">
      <c r="A53" s="35" t="n">
        <v>50</v>
      </c>
      <c r="B53" s="7" t="s">
        <v>349</v>
      </c>
      <c r="C53" s="7" t="s">
        <v>586</v>
      </c>
      <c r="D53" s="7" t="s">
        <v>375</v>
      </c>
      <c r="E53" s="7" t="s">
        <v>230</v>
      </c>
      <c r="F53" s="35" t="s">
        <v>81</v>
      </c>
      <c r="G53" s="7" t="s">
        <v>171</v>
      </c>
      <c r="H53" s="7" t="s">
        <v>172</v>
      </c>
      <c r="I53" s="7" t="s">
        <v>173</v>
      </c>
      <c r="J53" s="35" t="s">
        <v>207</v>
      </c>
      <c r="K53" s="7" t="s">
        <v>559</v>
      </c>
      <c r="L53" s="7" t="s">
        <v>560</v>
      </c>
      <c r="M53" s="7" t="s">
        <v>576</v>
      </c>
      <c r="N53" s="7" t="s">
        <v>215</v>
      </c>
      <c r="O53" s="7" t="s">
        <v>179</v>
      </c>
      <c r="P53" s="35" t="str">
        <f aca="true">IF(ISNUMBER(O53),O53-TODAY(),"")</f>
        <v/>
      </c>
      <c r="Q53" s="7" t="s">
        <v>179</v>
      </c>
      <c r="R53" s="36" t="n">
        <v>2800</v>
      </c>
      <c r="S53" s="36" t="n">
        <v>4000</v>
      </c>
      <c r="T53" s="37" t="n">
        <f aca="false">IF(R53="","",AVERAGE(R53,S53))</f>
        <v>3400</v>
      </c>
      <c r="U53" s="7" t="s">
        <v>547</v>
      </c>
      <c r="V53" s="38" t="s">
        <v>181</v>
      </c>
      <c r="W53" s="38" t="n">
        <v>4</v>
      </c>
      <c r="X53" s="38" t="n">
        <v>1.5</v>
      </c>
      <c r="Y53" s="35" t="n">
        <f aca="false">ROUND(0.6*W53+0.4*X53,1)</f>
        <v>3</v>
      </c>
      <c r="Z53" s="38" t="s">
        <v>182</v>
      </c>
      <c r="AA53" s="38" t="n">
        <v>1</v>
      </c>
      <c r="AB53" s="39" t="n">
        <f aca="false">1-AA53*(1-INDEX('Perfil e pressupostos'!$C$14:$C$20,MATCH(Z53,'Perfil e pressupostos'!$A$14:$A$20,0)))</f>
        <v>0.95</v>
      </c>
      <c r="AC53" s="38" t="n">
        <v>0.3</v>
      </c>
      <c r="AD53" s="38" t="n">
        <v>0.5</v>
      </c>
      <c r="AE53" s="38" t="n">
        <v>0.7</v>
      </c>
      <c r="AF53" s="40" t="n">
        <f aca="false">100*('Perfil e pressupostos'!$F$14*AB53+'Perfil e pressupostos'!$F$15*AC53+'Perfil e pressupostos'!$F$16*AD53+'Perfil e pressupostos'!$F$17*AE53)/'Perfil e pressupostos'!$F$18</f>
        <v>60.5</v>
      </c>
      <c r="AG53" s="41" t="n">
        <f aca="false">INDEX('Perfil e pressupostos'!$B$25:$B$28,MATCH(V53,'Perfil e pressupostos'!$A$25:$A$28,0))</f>
        <v>0.01</v>
      </c>
      <c r="AH53" s="41" t="n">
        <f aca="false">MIN('Perfil e pressupostos'!$F$29,AG53*('Perfil e pressupostos'!$F$25+'Perfil e pressupostos'!$F$26*AF53/100)*IF(AD53&lt;='Perfil e pressupostos'!$F$28,'Perfil e pressupostos'!$F$27,1))</f>
        <v>0.01126</v>
      </c>
      <c r="AI53" s="35" t="str">
        <f aca="false">IF(AQ53=0,"—",IF(AH53&gt;='Perfil e pressupostos'!$F$30,"Boa",IF(AH53&gt;='Perfil e pressupostos'!$F$31,"Média","Baixa")))</f>
        <v>Baixa</v>
      </c>
      <c r="AJ53" s="7" t="s">
        <v>412</v>
      </c>
      <c r="AK53" s="7" t="s">
        <v>215</v>
      </c>
      <c r="AL53" s="35" t="str">
        <f aca="false">IF(AK53="Prazo expirado","Prazo passado",IF(LEFT(AK53,11)="Monitorizar","Monitorizar",IF(Y53&gt;=3.5,"Prioridade",IF(Y53&gt;=3,"Candidatar (reach)","Reserva"))))</f>
        <v>Candidatar (reach)</v>
      </c>
      <c r="AM53" s="7" t="s">
        <v>548</v>
      </c>
      <c r="AN53" s="42" t="s">
        <v>587</v>
      </c>
      <c r="AO53" s="7" t="s">
        <v>187</v>
      </c>
      <c r="AP53" s="7" t="s">
        <v>218</v>
      </c>
      <c r="AQ53" s="7" t="n">
        <f aca="false">IF(OR(AK53="Prazo expirado",LEFT(AK53,11)="Monitorizar"),0,1)</f>
        <v>1</v>
      </c>
      <c r="AR53" s="41" t="n">
        <f aca="false">IF(AQ53=0,0,AH53)</f>
        <v>0.01126</v>
      </c>
      <c r="AS53" s="41" t="n">
        <f aca="false">AR53*W53/5</f>
        <v>0.009008</v>
      </c>
      <c r="AT53" s="43" t="n">
        <f aca="false">AS53+W53/1000000+(1000-ROW())/1000000000</f>
        <v>0.009012947</v>
      </c>
      <c r="AU53" s="35" t="n">
        <f aca="false">RANK(AT53,$AT$4:$AT$227)</f>
        <v>126</v>
      </c>
      <c r="AV53" s="40" t="n">
        <f aca="false">IF(AQ53=0,"",AF53)</f>
        <v>60.5</v>
      </c>
      <c r="AW53" s="41" t="n">
        <f aca="false">IF(AQ53=0,"",AH53)</f>
        <v>0.01126</v>
      </c>
    </row>
    <row r="54" customFormat="false" ht="45" hidden="false" customHeight="true" outlineLevel="0" collapsed="false">
      <c r="A54" s="35" t="n">
        <v>51</v>
      </c>
      <c r="B54" s="7" t="s">
        <v>349</v>
      </c>
      <c r="C54" s="7" t="s">
        <v>588</v>
      </c>
      <c r="D54" s="7" t="s">
        <v>169</v>
      </c>
      <c r="E54" s="7" t="s">
        <v>230</v>
      </c>
      <c r="F54" s="35" t="s">
        <v>97</v>
      </c>
      <c r="G54" s="7" t="s">
        <v>589</v>
      </c>
      <c r="H54" s="7" t="s">
        <v>172</v>
      </c>
      <c r="I54" s="7" t="s">
        <v>173</v>
      </c>
      <c r="J54" s="35" t="s">
        <v>207</v>
      </c>
      <c r="K54" s="7" t="s">
        <v>544</v>
      </c>
      <c r="L54" s="7" t="s">
        <v>545</v>
      </c>
      <c r="M54" s="7" t="s">
        <v>590</v>
      </c>
      <c r="N54" s="7" t="s">
        <v>215</v>
      </c>
      <c r="O54" s="7" t="s">
        <v>179</v>
      </c>
      <c r="P54" s="35" t="str">
        <f aca="true">IF(ISNUMBER(O54),O54-TODAY(),"")</f>
        <v/>
      </c>
      <c r="Q54" s="7" t="s">
        <v>179</v>
      </c>
      <c r="R54" s="36" t="n">
        <v>800</v>
      </c>
      <c r="S54" s="36" t="n">
        <v>1500</v>
      </c>
      <c r="T54" s="37" t="n">
        <f aca="false">IF(R54="","",AVERAGE(R54,S54))</f>
        <v>1150</v>
      </c>
      <c r="U54" s="7" t="s">
        <v>547</v>
      </c>
      <c r="V54" s="38" t="s">
        <v>181</v>
      </c>
      <c r="W54" s="38" t="n">
        <v>5</v>
      </c>
      <c r="X54" s="38" t="n">
        <v>1.3</v>
      </c>
      <c r="Y54" s="35" t="n">
        <f aca="false">ROUND(0.6*W54+0.4*X54,1)</f>
        <v>3.5</v>
      </c>
      <c r="Z54" s="38" t="s">
        <v>591</v>
      </c>
      <c r="AA54" s="38" t="n">
        <v>0.5</v>
      </c>
      <c r="AB54" s="39" t="n">
        <f aca="false">1-AA54*(1-INDEX('Perfil e pressupostos'!$C$14:$C$20,MATCH(Z54,'Perfil e pressupostos'!$A$14:$A$20,0)))</f>
        <v>0.65</v>
      </c>
      <c r="AC54" s="38" t="n">
        <v>0.3</v>
      </c>
      <c r="AD54" s="38" t="n">
        <v>0.4</v>
      </c>
      <c r="AE54" s="38" t="n">
        <v>0.8</v>
      </c>
      <c r="AF54" s="40" t="n">
        <f aca="false">100*('Perfil e pressupostos'!$F$14*AB54+'Perfil e pressupostos'!$F$15*AC54+'Perfil e pressupostos'!$F$16*AD54+'Perfil e pressupostos'!$F$17*AE54)/'Perfil e pressupostos'!$F$18</f>
        <v>50.5</v>
      </c>
      <c r="AG54" s="41" t="n">
        <f aca="false">INDEX('Perfil e pressupostos'!$B$25:$B$28,MATCH(V54,'Perfil e pressupostos'!$A$25:$A$28,0))</f>
        <v>0.01</v>
      </c>
      <c r="AH54" s="41" t="n">
        <f aca="false">MIN('Perfil e pressupostos'!$F$29,AG54*('Perfil e pressupostos'!$F$25+'Perfil e pressupostos'!$F$26*AF54/100)*IF(AD54&lt;='Perfil e pressupostos'!$F$28,'Perfil e pressupostos'!$F$27,1))</f>
        <v>0.01006</v>
      </c>
      <c r="AI54" s="35" t="str">
        <f aca="false">IF(AQ54=0,"—",IF(AH54&gt;='Perfil e pressupostos'!$F$30,"Boa",IF(AH54&gt;='Perfil e pressupostos'!$F$31,"Média","Baixa")))</f>
        <v>Baixa</v>
      </c>
      <c r="AJ54" s="7" t="s">
        <v>592</v>
      </c>
      <c r="AK54" s="7" t="s">
        <v>215</v>
      </c>
      <c r="AL54" s="35" t="str">
        <f aca="false">IF(AK54="Prazo expirado","Prazo passado",IF(LEFT(AK54,11)="Monitorizar","Monitorizar",IF(Y54&gt;=3.5,"Prioridade",IF(Y54&gt;=3,"Candidatar (reach)","Reserva"))))</f>
        <v>Prioridade</v>
      </c>
      <c r="AM54" s="7" t="s">
        <v>548</v>
      </c>
      <c r="AN54" s="42" t="s">
        <v>593</v>
      </c>
      <c r="AO54" s="7" t="s">
        <v>187</v>
      </c>
      <c r="AP54" s="7" t="s">
        <v>218</v>
      </c>
      <c r="AQ54" s="7" t="n">
        <f aca="false">IF(OR(AK54="Prazo expirado",LEFT(AK54,11)="Monitorizar"),0,1)</f>
        <v>1</v>
      </c>
      <c r="AR54" s="41" t="n">
        <f aca="false">IF(AQ54=0,0,AH54)</f>
        <v>0.01006</v>
      </c>
      <c r="AS54" s="41" t="n">
        <f aca="false">AR54*W54/5</f>
        <v>0.01006</v>
      </c>
      <c r="AT54" s="43" t="n">
        <f aca="false">AS54+W54/1000000+(1000-ROW())/1000000000</f>
        <v>0.010065946</v>
      </c>
      <c r="AU54" s="35" t="n">
        <f aca="false">RANK(AT54,$AT$4:$AT$227)</f>
        <v>113</v>
      </c>
      <c r="AV54" s="40" t="n">
        <f aca="false">IF(AQ54=0,"",AF54)</f>
        <v>50.5</v>
      </c>
      <c r="AW54" s="41" t="n">
        <f aca="false">IF(AQ54=0,"",AH54)</f>
        <v>0.01006</v>
      </c>
    </row>
    <row r="55" customFormat="false" ht="45" hidden="false" customHeight="true" outlineLevel="0" collapsed="false">
      <c r="A55" s="35" t="n">
        <v>52</v>
      </c>
      <c r="B55" s="7" t="s">
        <v>349</v>
      </c>
      <c r="C55" s="7" t="s">
        <v>594</v>
      </c>
      <c r="D55" s="7" t="s">
        <v>169</v>
      </c>
      <c r="E55" s="7" t="s">
        <v>230</v>
      </c>
      <c r="F55" s="35" t="s">
        <v>87</v>
      </c>
      <c r="G55" s="7" t="s">
        <v>457</v>
      </c>
      <c r="H55" s="7" t="s">
        <v>172</v>
      </c>
      <c r="I55" s="7" t="s">
        <v>595</v>
      </c>
      <c r="J55" s="35" t="s">
        <v>207</v>
      </c>
      <c r="K55" s="7" t="s">
        <v>544</v>
      </c>
      <c r="L55" s="7" t="s">
        <v>545</v>
      </c>
      <c r="M55" s="7" t="s">
        <v>576</v>
      </c>
      <c r="N55" s="7" t="s">
        <v>215</v>
      </c>
      <c r="O55" s="7" t="s">
        <v>179</v>
      </c>
      <c r="P55" s="35" t="str">
        <f aca="true">IF(ISNUMBER(O55),O55-TODAY(),"")</f>
        <v/>
      </c>
      <c r="Q55" s="7" t="s">
        <v>179</v>
      </c>
      <c r="R55" s="36" t="n">
        <v>1800</v>
      </c>
      <c r="S55" s="36" t="n">
        <v>2800</v>
      </c>
      <c r="T55" s="37" t="n">
        <f aca="false">IF(R55="","",AVERAGE(R55,S55))</f>
        <v>2300</v>
      </c>
      <c r="U55" s="7" t="s">
        <v>547</v>
      </c>
      <c r="V55" s="38" t="s">
        <v>181</v>
      </c>
      <c r="W55" s="38" t="n">
        <v>4</v>
      </c>
      <c r="X55" s="38" t="n">
        <v>1.3</v>
      </c>
      <c r="Y55" s="35" t="n">
        <f aca="false">ROUND(0.6*W55+0.4*X55,1)</f>
        <v>2.9</v>
      </c>
      <c r="Z55" s="38" t="s">
        <v>304</v>
      </c>
      <c r="AA55" s="38" t="n">
        <v>0.4</v>
      </c>
      <c r="AB55" s="39" t="n">
        <f aca="false">1-AA55*(1-INDEX('Perfil e pressupostos'!$C$14:$C$20,MATCH(Z55,'Perfil e pressupostos'!$A$14:$A$20,0)))</f>
        <v>0.62</v>
      </c>
      <c r="AC55" s="38" t="n">
        <v>0.3</v>
      </c>
      <c r="AD55" s="38" t="n">
        <v>0.4</v>
      </c>
      <c r="AE55" s="38" t="n">
        <v>0.7</v>
      </c>
      <c r="AF55" s="40" t="n">
        <f aca="false">100*('Perfil e pressupostos'!$F$14*AB55+'Perfil e pressupostos'!$F$15*AC55+'Perfil e pressupostos'!$F$16*AD55+'Perfil e pressupostos'!$F$17*AE55)/'Perfil e pressupostos'!$F$18</f>
        <v>48.1</v>
      </c>
      <c r="AG55" s="41" t="n">
        <f aca="false">INDEX('Perfil e pressupostos'!$B$25:$B$28,MATCH(V55,'Perfil e pressupostos'!$A$25:$A$28,0))</f>
        <v>0.01</v>
      </c>
      <c r="AH55" s="41" t="n">
        <f aca="false">MIN('Perfil e pressupostos'!$F$29,AG55*('Perfil e pressupostos'!$F$25+'Perfil e pressupostos'!$F$26*AF55/100)*IF(AD55&lt;='Perfil e pressupostos'!$F$28,'Perfil e pressupostos'!$F$27,1))</f>
        <v>0.009772</v>
      </c>
      <c r="AI55" s="35" t="str">
        <f aca="false">IF(AQ55=0,"—",IF(AH55&gt;='Perfil e pressupostos'!$F$30,"Boa",IF(AH55&gt;='Perfil e pressupostos'!$F$31,"Média","Baixa")))</f>
        <v>Baixa</v>
      </c>
      <c r="AJ55" s="7" t="s">
        <v>596</v>
      </c>
      <c r="AK55" s="7" t="s">
        <v>215</v>
      </c>
      <c r="AL55" s="35" t="str">
        <f aca="false">IF(AK55="Prazo expirado","Prazo passado",IF(LEFT(AK55,11)="Monitorizar","Monitorizar",IF(Y55&gt;=3.5,"Prioridade",IF(Y55&gt;=3,"Candidatar (reach)","Reserva"))))</f>
        <v>Reserva</v>
      </c>
      <c r="AM55" s="7" t="s">
        <v>548</v>
      </c>
      <c r="AN55" s="42" t="s">
        <v>597</v>
      </c>
      <c r="AO55" s="7" t="s">
        <v>187</v>
      </c>
      <c r="AP55" s="7" t="s">
        <v>218</v>
      </c>
      <c r="AQ55" s="7" t="n">
        <f aca="false">IF(OR(AK55="Prazo expirado",LEFT(AK55,11)="Monitorizar"),0,1)</f>
        <v>1</v>
      </c>
      <c r="AR55" s="41" t="n">
        <f aca="false">IF(AQ55=0,0,AH55)</f>
        <v>0.009772</v>
      </c>
      <c r="AS55" s="41" t="n">
        <f aca="false">AR55*W55/5</f>
        <v>0.0078176</v>
      </c>
      <c r="AT55" s="43" t="n">
        <f aca="false">AS55+W55/1000000+(1000-ROW())/1000000000</f>
        <v>0.007822545</v>
      </c>
      <c r="AU55" s="35" t="n">
        <f aca="false">RANK(AT55,$AT$4:$AT$227)</f>
        <v>153</v>
      </c>
      <c r="AV55" s="40" t="n">
        <f aca="false">IF(AQ55=0,"",AF55)</f>
        <v>48.1</v>
      </c>
      <c r="AW55" s="41" t="n">
        <f aca="false">IF(AQ55=0,"",AH55)</f>
        <v>0.009772</v>
      </c>
    </row>
    <row r="56" customFormat="false" ht="45" hidden="false" customHeight="true" outlineLevel="0" collapsed="false">
      <c r="A56" s="35" t="n">
        <v>53</v>
      </c>
      <c r="B56" s="7" t="s">
        <v>349</v>
      </c>
      <c r="C56" s="7" t="s">
        <v>598</v>
      </c>
      <c r="D56" s="7" t="s">
        <v>375</v>
      </c>
      <c r="E56" s="7" t="s">
        <v>230</v>
      </c>
      <c r="F56" s="35" t="s">
        <v>87</v>
      </c>
      <c r="G56" s="7" t="s">
        <v>457</v>
      </c>
      <c r="H56" s="7" t="s">
        <v>172</v>
      </c>
      <c r="I56" s="7" t="s">
        <v>599</v>
      </c>
      <c r="J56" s="35" t="s">
        <v>207</v>
      </c>
      <c r="K56" s="7" t="s">
        <v>559</v>
      </c>
      <c r="L56" s="7" t="s">
        <v>560</v>
      </c>
      <c r="M56" s="7" t="s">
        <v>576</v>
      </c>
      <c r="N56" s="7" t="s">
        <v>215</v>
      </c>
      <c r="O56" s="7" t="s">
        <v>179</v>
      </c>
      <c r="P56" s="35" t="str">
        <f aca="true">IF(ISNUMBER(O56),O56-TODAY(),"")</f>
        <v/>
      </c>
      <c r="Q56" s="7" t="s">
        <v>179</v>
      </c>
      <c r="R56" s="36" t="n">
        <v>1800</v>
      </c>
      <c r="S56" s="36" t="n">
        <v>2800</v>
      </c>
      <c r="T56" s="37" t="n">
        <f aca="false">IF(R56="","",AVERAGE(R56,S56))</f>
        <v>2300</v>
      </c>
      <c r="U56" s="7" t="s">
        <v>547</v>
      </c>
      <c r="V56" s="38" t="s">
        <v>181</v>
      </c>
      <c r="W56" s="38" t="n">
        <v>4</v>
      </c>
      <c r="X56" s="38" t="n">
        <v>1.3</v>
      </c>
      <c r="Y56" s="35" t="n">
        <f aca="false">ROUND(0.6*W56+0.4*X56,1)</f>
        <v>2.9</v>
      </c>
      <c r="Z56" s="38" t="s">
        <v>304</v>
      </c>
      <c r="AA56" s="38" t="n">
        <v>0.4</v>
      </c>
      <c r="AB56" s="39" t="n">
        <f aca="false">1-AA56*(1-INDEX('Perfil e pressupostos'!$C$14:$C$20,MATCH(Z56,'Perfil e pressupostos'!$A$14:$A$20,0)))</f>
        <v>0.62</v>
      </c>
      <c r="AC56" s="38" t="n">
        <v>0.3</v>
      </c>
      <c r="AD56" s="38" t="n">
        <v>0.4</v>
      </c>
      <c r="AE56" s="38" t="n">
        <v>0.7</v>
      </c>
      <c r="AF56" s="40" t="n">
        <f aca="false">100*('Perfil e pressupostos'!$F$14*AB56+'Perfil e pressupostos'!$F$15*AC56+'Perfil e pressupostos'!$F$16*AD56+'Perfil e pressupostos'!$F$17*AE56)/'Perfil e pressupostos'!$F$18</f>
        <v>48.1</v>
      </c>
      <c r="AG56" s="41" t="n">
        <f aca="false">INDEX('Perfil e pressupostos'!$B$25:$B$28,MATCH(V56,'Perfil e pressupostos'!$A$25:$A$28,0))</f>
        <v>0.01</v>
      </c>
      <c r="AH56" s="41" t="n">
        <f aca="false">MIN('Perfil e pressupostos'!$F$29,AG56*('Perfil e pressupostos'!$F$25+'Perfil e pressupostos'!$F$26*AF56/100)*IF(AD56&lt;='Perfil e pressupostos'!$F$28,'Perfil e pressupostos'!$F$27,1))</f>
        <v>0.009772</v>
      </c>
      <c r="AI56" s="35" t="str">
        <f aca="false">IF(AQ56=0,"—",IF(AH56&gt;='Perfil e pressupostos'!$F$30,"Boa",IF(AH56&gt;='Perfil e pressupostos'!$F$31,"Média","Baixa")))</f>
        <v>Baixa</v>
      </c>
      <c r="AJ56" s="7" t="s">
        <v>596</v>
      </c>
      <c r="AK56" s="7" t="s">
        <v>215</v>
      </c>
      <c r="AL56" s="35" t="str">
        <f aca="false">IF(AK56="Prazo expirado","Prazo passado",IF(LEFT(AK56,11)="Monitorizar","Monitorizar",IF(Y56&gt;=3.5,"Prioridade",IF(Y56&gt;=3,"Candidatar (reach)","Reserva"))))</f>
        <v>Reserva</v>
      </c>
      <c r="AM56" s="7" t="s">
        <v>548</v>
      </c>
      <c r="AN56" s="42" t="s">
        <v>600</v>
      </c>
      <c r="AO56" s="7" t="s">
        <v>361</v>
      </c>
      <c r="AP56" s="7" t="s">
        <v>218</v>
      </c>
      <c r="AQ56" s="7" t="n">
        <f aca="false">IF(OR(AK56="Prazo expirado",LEFT(AK56,11)="Monitorizar"),0,1)</f>
        <v>1</v>
      </c>
      <c r="AR56" s="41" t="n">
        <f aca="false">IF(AQ56=0,0,AH56)</f>
        <v>0.009772</v>
      </c>
      <c r="AS56" s="41" t="n">
        <f aca="false">AR56*W56/5</f>
        <v>0.0078176</v>
      </c>
      <c r="AT56" s="43" t="n">
        <f aca="false">AS56+W56/1000000+(1000-ROW())/1000000000</f>
        <v>0.007822544</v>
      </c>
      <c r="AU56" s="35" t="n">
        <f aca="false">RANK(AT56,$AT$4:$AT$227)</f>
        <v>154</v>
      </c>
      <c r="AV56" s="40" t="n">
        <f aca="false">IF(AQ56=0,"",AF56)</f>
        <v>48.1</v>
      </c>
      <c r="AW56" s="41" t="n">
        <f aca="false">IF(AQ56=0,"",AH56)</f>
        <v>0.009772</v>
      </c>
    </row>
    <row r="57" customFormat="false" ht="45" hidden="false" customHeight="true" outlineLevel="0" collapsed="false">
      <c r="A57" s="35" t="n">
        <v>54</v>
      </c>
      <c r="B57" s="7" t="s">
        <v>601</v>
      </c>
      <c r="C57" s="7" t="s">
        <v>602</v>
      </c>
      <c r="D57" s="7" t="s">
        <v>603</v>
      </c>
      <c r="E57" s="7" t="s">
        <v>170</v>
      </c>
      <c r="F57" s="35" t="s">
        <v>85</v>
      </c>
      <c r="G57" s="7" t="s">
        <v>205</v>
      </c>
      <c r="H57" s="7" t="s">
        <v>172</v>
      </c>
      <c r="I57" s="7" t="s">
        <v>173</v>
      </c>
      <c r="J57" s="35" t="s">
        <v>207</v>
      </c>
      <c r="K57" s="7" t="s">
        <v>604</v>
      </c>
      <c r="L57" s="7" t="s">
        <v>605</v>
      </c>
      <c r="M57" s="7" t="s">
        <v>546</v>
      </c>
      <c r="N57" s="7" t="s">
        <v>215</v>
      </c>
      <c r="O57" s="7" t="s">
        <v>179</v>
      </c>
      <c r="P57" s="35" t="str">
        <f aca="true">IF(ISNUMBER(O57),O57-TODAY(),"")</f>
        <v/>
      </c>
      <c r="Q57" s="7" t="s">
        <v>179</v>
      </c>
      <c r="R57" s="36" t="n">
        <v>1500</v>
      </c>
      <c r="S57" s="36" t="n">
        <v>2500</v>
      </c>
      <c r="T57" s="37" t="n">
        <f aca="false">IF(R57="","",AVERAGE(R57,S57))</f>
        <v>2000</v>
      </c>
      <c r="U57" s="7" t="s">
        <v>547</v>
      </c>
      <c r="V57" s="38" t="s">
        <v>181</v>
      </c>
      <c r="W57" s="38" t="n">
        <v>4</v>
      </c>
      <c r="X57" s="38" t="n">
        <v>1.1</v>
      </c>
      <c r="Y57" s="35" t="n">
        <f aca="false">ROUND(0.6*W57+0.4*X57,1)</f>
        <v>2.8</v>
      </c>
      <c r="Z57" s="38" t="s">
        <v>213</v>
      </c>
      <c r="AA57" s="38" t="n">
        <v>0.8</v>
      </c>
      <c r="AB57" s="39" t="n">
        <f aca="false">1-AA57*(1-INDEX('Perfil e pressupostos'!$C$14:$C$20,MATCH(Z57,'Perfil e pressupostos'!$A$14:$A$20,0)))</f>
        <v>0.24</v>
      </c>
      <c r="AC57" s="38" t="n">
        <v>0.2</v>
      </c>
      <c r="AD57" s="38" t="n">
        <v>0.3</v>
      </c>
      <c r="AE57" s="38" t="n">
        <v>0.7</v>
      </c>
      <c r="AF57" s="40" t="n">
        <f aca="false">100*('Perfil e pressupostos'!$F$14*AB57+'Perfil e pressupostos'!$F$15*AC57+'Perfil e pressupostos'!$F$16*AD57+'Perfil e pressupostos'!$F$17*AE57)/'Perfil e pressupostos'!$F$18</f>
        <v>31.2</v>
      </c>
      <c r="AG57" s="41" t="n">
        <f aca="false">INDEX('Perfil e pressupostos'!$B$25:$B$28,MATCH(V57,'Perfil e pressupostos'!$A$25:$A$28,0))</f>
        <v>0.01</v>
      </c>
      <c r="AH57" s="41" t="n">
        <f aca="false">MIN('Perfil e pressupostos'!$F$29,AG57*('Perfil e pressupostos'!$F$25+'Perfil e pressupostos'!$F$26*AF57/100)*IF(AD57&lt;='Perfil e pressupostos'!$F$28,'Perfil e pressupostos'!$F$27,1))</f>
        <v>0.007744</v>
      </c>
      <c r="AI57" s="35" t="str">
        <f aca="false">IF(AQ57=0,"—",IF(AH57&gt;='Perfil e pressupostos'!$F$30,"Boa",IF(AH57&gt;='Perfil e pressupostos'!$F$31,"Média","Baixa")))</f>
        <v>Baixa</v>
      </c>
      <c r="AJ57" s="7" t="s">
        <v>606</v>
      </c>
      <c r="AK57" s="7" t="s">
        <v>215</v>
      </c>
      <c r="AL57" s="35" t="str">
        <f aca="false">IF(AK57="Prazo expirado","Prazo passado",IF(LEFT(AK57,11)="Monitorizar","Monitorizar",IF(Y57&gt;=3.5,"Prioridade",IF(Y57&gt;=3,"Candidatar (reach)","Reserva"))))</f>
        <v>Reserva</v>
      </c>
      <c r="AM57" s="7" t="s">
        <v>548</v>
      </c>
      <c r="AN57" s="42" t="s">
        <v>607</v>
      </c>
      <c r="AO57" s="7" t="s">
        <v>187</v>
      </c>
      <c r="AP57" s="7" t="s">
        <v>218</v>
      </c>
      <c r="AQ57" s="7" t="n">
        <f aca="false">IF(OR(AK57="Prazo expirado",LEFT(AK57,11)="Monitorizar"),0,1)</f>
        <v>1</v>
      </c>
      <c r="AR57" s="41" t="n">
        <f aca="false">IF(AQ57=0,0,AH57)</f>
        <v>0.007744</v>
      </c>
      <c r="AS57" s="41" t="n">
        <f aca="false">AR57*W57/5</f>
        <v>0.0061952</v>
      </c>
      <c r="AT57" s="43" t="n">
        <f aca="false">AS57+W57/1000000+(1000-ROW())/1000000000</f>
        <v>0.006200143</v>
      </c>
      <c r="AU57" s="35" t="n">
        <f aca="false">RANK(AT57,$AT$4:$AT$227)</f>
        <v>184</v>
      </c>
      <c r="AV57" s="40" t="n">
        <f aca="false">IF(AQ57=0,"",AF57)</f>
        <v>31.2</v>
      </c>
      <c r="AW57" s="41" t="n">
        <f aca="false">IF(AQ57=0,"",AH57)</f>
        <v>0.007744</v>
      </c>
    </row>
    <row r="58" customFormat="false" ht="45" hidden="false" customHeight="true" outlineLevel="0" collapsed="false">
      <c r="A58" s="35" t="n">
        <v>55</v>
      </c>
      <c r="B58" s="7" t="s">
        <v>601</v>
      </c>
      <c r="C58" s="7" t="s">
        <v>608</v>
      </c>
      <c r="D58" s="7" t="s">
        <v>169</v>
      </c>
      <c r="E58" s="7" t="s">
        <v>170</v>
      </c>
      <c r="F58" s="35" t="s">
        <v>85</v>
      </c>
      <c r="G58" s="7" t="s">
        <v>205</v>
      </c>
      <c r="H58" s="7" t="s">
        <v>172</v>
      </c>
      <c r="I58" s="7" t="s">
        <v>173</v>
      </c>
      <c r="J58" s="35" t="s">
        <v>207</v>
      </c>
      <c r="K58" s="7" t="s">
        <v>544</v>
      </c>
      <c r="L58" s="7" t="s">
        <v>545</v>
      </c>
      <c r="M58" s="7" t="s">
        <v>546</v>
      </c>
      <c r="N58" s="7" t="s">
        <v>215</v>
      </c>
      <c r="O58" s="7" t="s">
        <v>179</v>
      </c>
      <c r="P58" s="35" t="str">
        <f aca="true">IF(ISNUMBER(O58),O58-TODAY(),"")</f>
        <v/>
      </c>
      <c r="Q58" s="7" t="s">
        <v>179</v>
      </c>
      <c r="R58" s="36" t="n">
        <v>1500</v>
      </c>
      <c r="S58" s="36" t="n">
        <v>2500</v>
      </c>
      <c r="T58" s="37" t="n">
        <f aca="false">IF(R58="","",AVERAGE(R58,S58))</f>
        <v>2000</v>
      </c>
      <c r="U58" s="7" t="s">
        <v>547</v>
      </c>
      <c r="V58" s="38" t="s">
        <v>181</v>
      </c>
      <c r="W58" s="38" t="n">
        <v>5</v>
      </c>
      <c r="X58" s="38" t="n">
        <v>1</v>
      </c>
      <c r="Y58" s="35" t="n">
        <f aca="false">ROUND(0.6*W58+0.4*X58,1)</f>
        <v>3.4</v>
      </c>
      <c r="Z58" s="38" t="s">
        <v>213</v>
      </c>
      <c r="AA58" s="38" t="n">
        <v>1</v>
      </c>
      <c r="AB58" s="39" t="n">
        <f aca="false">1-AA58*(1-INDEX('Perfil e pressupostos'!$C$14:$C$20,MATCH(Z58,'Perfil e pressupostos'!$A$14:$A$20,0)))</f>
        <v>0.05</v>
      </c>
      <c r="AC58" s="38" t="n">
        <v>0.2</v>
      </c>
      <c r="AD58" s="38" t="n">
        <v>0.3</v>
      </c>
      <c r="AE58" s="38" t="n">
        <v>0.7</v>
      </c>
      <c r="AF58" s="40" t="n">
        <f aca="false">100*('Perfil e pressupostos'!$F$14*AB58+'Perfil e pressupostos'!$F$15*AC58+'Perfil e pressupostos'!$F$16*AD58+'Perfil e pressupostos'!$F$17*AE58)/'Perfil e pressupostos'!$F$18</f>
        <v>25.5</v>
      </c>
      <c r="AG58" s="41" t="n">
        <f aca="false">INDEX('Perfil e pressupostos'!$B$25:$B$28,MATCH(V58,'Perfil e pressupostos'!$A$25:$A$28,0))</f>
        <v>0.01</v>
      </c>
      <c r="AH58" s="41" t="n">
        <f aca="false">MIN('Perfil e pressupostos'!$F$29,AG58*('Perfil e pressupostos'!$F$25+'Perfil e pressupostos'!$F$26*AF58/100)*IF(AD58&lt;='Perfil e pressupostos'!$F$28,'Perfil e pressupostos'!$F$27,1))</f>
        <v>0.00706</v>
      </c>
      <c r="AI58" s="35" t="str">
        <f aca="false">IF(AQ58=0,"—",IF(AH58&gt;='Perfil e pressupostos'!$F$30,"Boa",IF(AH58&gt;='Perfil e pressupostos'!$F$31,"Média","Baixa")))</f>
        <v>Baixa</v>
      </c>
      <c r="AJ58" s="7" t="s">
        <v>251</v>
      </c>
      <c r="AK58" s="7" t="s">
        <v>215</v>
      </c>
      <c r="AL58" s="35" t="str">
        <f aca="false">IF(AK58="Prazo expirado","Prazo passado",IF(LEFT(AK58,11)="Monitorizar","Monitorizar",IF(Y58&gt;=3.5,"Prioridade",IF(Y58&gt;=3,"Candidatar (reach)","Reserva"))))</f>
        <v>Candidatar (reach)</v>
      </c>
      <c r="AM58" s="7" t="s">
        <v>609</v>
      </c>
      <c r="AN58" s="42" t="s">
        <v>610</v>
      </c>
      <c r="AO58" s="7" t="s">
        <v>187</v>
      </c>
      <c r="AP58" s="7" t="s">
        <v>188</v>
      </c>
      <c r="AQ58" s="7" t="n">
        <f aca="false">IF(OR(AK58="Prazo expirado",LEFT(AK58,11)="Monitorizar"),0,1)</f>
        <v>1</v>
      </c>
      <c r="AR58" s="41" t="n">
        <f aca="false">IF(AQ58=0,0,AH58)</f>
        <v>0.00706</v>
      </c>
      <c r="AS58" s="41" t="n">
        <f aca="false">AR58*W58/5</f>
        <v>0.00706</v>
      </c>
      <c r="AT58" s="43" t="n">
        <f aca="false">AS58+W58/1000000+(1000-ROW())/1000000000</f>
        <v>0.007065942</v>
      </c>
      <c r="AU58" s="35" t="n">
        <f aca="false">RANK(AT58,$AT$4:$AT$227)</f>
        <v>178</v>
      </c>
      <c r="AV58" s="40" t="n">
        <f aca="false">IF(AQ58=0,"",AF58)</f>
        <v>25.5</v>
      </c>
      <c r="AW58" s="41" t="n">
        <f aca="false">IF(AQ58=0,"",AH58)</f>
        <v>0.00706</v>
      </c>
    </row>
    <row r="59" customFormat="false" ht="45" hidden="false" customHeight="true" outlineLevel="0" collapsed="false">
      <c r="A59" s="35" t="n">
        <v>56</v>
      </c>
      <c r="B59" s="7" t="s">
        <v>601</v>
      </c>
      <c r="C59" s="7" t="s">
        <v>611</v>
      </c>
      <c r="D59" s="7" t="s">
        <v>191</v>
      </c>
      <c r="E59" s="7" t="s">
        <v>170</v>
      </c>
      <c r="F59" s="35" t="s">
        <v>81</v>
      </c>
      <c r="G59" s="7" t="s">
        <v>171</v>
      </c>
      <c r="H59" s="7" t="s">
        <v>172</v>
      </c>
      <c r="I59" s="7" t="s">
        <v>465</v>
      </c>
      <c r="J59" s="35" t="s">
        <v>207</v>
      </c>
      <c r="K59" s="7" t="s">
        <v>612</v>
      </c>
      <c r="L59" s="7" t="s">
        <v>613</v>
      </c>
      <c r="M59" s="7" t="s">
        <v>576</v>
      </c>
      <c r="N59" s="7" t="s">
        <v>215</v>
      </c>
      <c r="O59" s="7" t="s">
        <v>179</v>
      </c>
      <c r="P59" s="35" t="str">
        <f aca="true">IF(ISNUMBER(O59),O59-TODAY(),"")</f>
        <v/>
      </c>
      <c r="Q59" s="7" t="s">
        <v>179</v>
      </c>
      <c r="R59" s="36" t="n">
        <v>2800</v>
      </c>
      <c r="S59" s="36" t="n">
        <v>4000</v>
      </c>
      <c r="T59" s="37" t="n">
        <f aca="false">IF(R59="","",AVERAGE(R59,S59))</f>
        <v>3400</v>
      </c>
      <c r="U59" s="7" t="s">
        <v>547</v>
      </c>
      <c r="V59" s="38" t="s">
        <v>181</v>
      </c>
      <c r="W59" s="38" t="n">
        <v>4</v>
      </c>
      <c r="X59" s="38" t="n">
        <v>1.5</v>
      </c>
      <c r="Y59" s="35" t="n">
        <f aca="false">ROUND(0.6*W59+0.4*X59,1)</f>
        <v>3</v>
      </c>
      <c r="Z59" s="38" t="s">
        <v>182</v>
      </c>
      <c r="AA59" s="38" t="n">
        <v>1</v>
      </c>
      <c r="AB59" s="39" t="n">
        <f aca="false">1-AA59*(1-INDEX('Perfil e pressupostos'!$C$14:$C$20,MATCH(Z59,'Perfil e pressupostos'!$A$14:$A$20,0)))</f>
        <v>0.95</v>
      </c>
      <c r="AC59" s="38" t="n">
        <v>0.3</v>
      </c>
      <c r="AD59" s="38" t="n">
        <v>0.5</v>
      </c>
      <c r="AE59" s="38" t="n">
        <v>0.7</v>
      </c>
      <c r="AF59" s="40" t="n">
        <f aca="false">100*('Perfil e pressupostos'!$F$14*AB59+'Perfil e pressupostos'!$F$15*AC59+'Perfil e pressupostos'!$F$16*AD59+'Perfil e pressupostos'!$F$17*AE59)/'Perfil e pressupostos'!$F$18</f>
        <v>60.5</v>
      </c>
      <c r="AG59" s="41" t="n">
        <f aca="false">INDEX('Perfil e pressupostos'!$B$25:$B$28,MATCH(V59,'Perfil e pressupostos'!$A$25:$A$28,0))</f>
        <v>0.01</v>
      </c>
      <c r="AH59" s="41" t="n">
        <f aca="false">MIN('Perfil e pressupostos'!$F$29,AG59*('Perfil e pressupostos'!$F$25+'Perfil e pressupostos'!$F$26*AF59/100)*IF(AD59&lt;='Perfil e pressupostos'!$F$28,'Perfil e pressupostos'!$F$27,1))</f>
        <v>0.01126</v>
      </c>
      <c r="AI59" s="35" t="str">
        <f aca="false">IF(AQ59=0,"—",IF(AH59&gt;='Perfil e pressupostos'!$F$30,"Boa",IF(AH59&gt;='Perfil e pressupostos'!$F$31,"Média","Baixa")))</f>
        <v>Baixa</v>
      </c>
      <c r="AJ59" s="7" t="s">
        <v>412</v>
      </c>
      <c r="AK59" s="7" t="s">
        <v>215</v>
      </c>
      <c r="AL59" s="35" t="str">
        <f aca="false">IF(AK59="Prazo expirado","Prazo passado",IF(LEFT(AK59,11)="Monitorizar","Monitorizar",IF(Y59&gt;=3.5,"Prioridade",IF(Y59&gt;=3,"Candidatar (reach)","Reserva"))))</f>
        <v>Candidatar (reach)</v>
      </c>
      <c r="AM59" s="7" t="s">
        <v>548</v>
      </c>
      <c r="AN59" s="42" t="s">
        <v>614</v>
      </c>
      <c r="AO59" s="7" t="s">
        <v>361</v>
      </c>
      <c r="AP59" s="7" t="s">
        <v>218</v>
      </c>
      <c r="AQ59" s="7" t="n">
        <f aca="false">IF(OR(AK59="Prazo expirado",LEFT(AK59,11)="Monitorizar"),0,1)</f>
        <v>1</v>
      </c>
      <c r="AR59" s="41" t="n">
        <f aca="false">IF(AQ59=0,0,AH59)</f>
        <v>0.01126</v>
      </c>
      <c r="AS59" s="41" t="n">
        <f aca="false">AR59*W59/5</f>
        <v>0.009008</v>
      </c>
      <c r="AT59" s="43" t="n">
        <f aca="false">AS59+W59/1000000+(1000-ROW())/1000000000</f>
        <v>0.009012941</v>
      </c>
      <c r="AU59" s="35" t="n">
        <f aca="false">RANK(AT59,$AT$4:$AT$227)</f>
        <v>127</v>
      </c>
      <c r="AV59" s="40" t="n">
        <f aca="false">IF(AQ59=0,"",AF59)</f>
        <v>60.5</v>
      </c>
      <c r="AW59" s="41" t="n">
        <f aca="false">IF(AQ59=0,"",AH59)</f>
        <v>0.01126</v>
      </c>
    </row>
    <row r="60" customFormat="false" ht="45" hidden="false" customHeight="true" outlineLevel="0" collapsed="false">
      <c r="A60" s="35" t="n">
        <v>57</v>
      </c>
      <c r="B60" s="7" t="s">
        <v>189</v>
      </c>
      <c r="C60" s="7" t="s">
        <v>615</v>
      </c>
      <c r="D60" s="7" t="s">
        <v>169</v>
      </c>
      <c r="E60" s="7" t="s">
        <v>170</v>
      </c>
      <c r="F60" s="35" t="s">
        <v>85</v>
      </c>
      <c r="G60" s="7" t="s">
        <v>205</v>
      </c>
      <c r="H60" s="7" t="s">
        <v>172</v>
      </c>
      <c r="I60" s="7" t="s">
        <v>173</v>
      </c>
      <c r="J60" s="35" t="s">
        <v>207</v>
      </c>
      <c r="K60" s="7" t="s">
        <v>544</v>
      </c>
      <c r="L60" s="7" t="s">
        <v>545</v>
      </c>
      <c r="M60" s="7" t="s">
        <v>546</v>
      </c>
      <c r="N60" s="7" t="s">
        <v>215</v>
      </c>
      <c r="O60" s="7" t="s">
        <v>179</v>
      </c>
      <c r="P60" s="35" t="str">
        <f aca="true">IF(ISNUMBER(O60),O60-TODAY(),"")</f>
        <v/>
      </c>
      <c r="Q60" s="7" t="s">
        <v>179</v>
      </c>
      <c r="R60" s="36" t="n">
        <v>1500</v>
      </c>
      <c r="S60" s="36" t="n">
        <v>2500</v>
      </c>
      <c r="T60" s="37" t="n">
        <f aca="false">IF(R60="","",AVERAGE(R60,S60))</f>
        <v>2000</v>
      </c>
      <c r="U60" s="7" t="s">
        <v>547</v>
      </c>
      <c r="V60" s="38" t="s">
        <v>199</v>
      </c>
      <c r="W60" s="38" t="n">
        <v>4.5</v>
      </c>
      <c r="X60" s="38" t="n">
        <v>1.1</v>
      </c>
      <c r="Y60" s="35" t="n">
        <f aca="false">ROUND(0.6*W60+0.4*X60,1)</f>
        <v>3.1</v>
      </c>
      <c r="Z60" s="38" t="s">
        <v>213</v>
      </c>
      <c r="AA60" s="38" t="n">
        <v>1</v>
      </c>
      <c r="AB60" s="39" t="n">
        <f aca="false">1-AA60*(1-INDEX('Perfil e pressupostos'!$C$14:$C$20,MATCH(Z60,'Perfil e pressupostos'!$A$14:$A$20,0)))</f>
        <v>0.05</v>
      </c>
      <c r="AC60" s="38" t="n">
        <v>0.3</v>
      </c>
      <c r="AD60" s="38" t="n">
        <v>0.3</v>
      </c>
      <c r="AE60" s="38" t="n">
        <v>0.7</v>
      </c>
      <c r="AF60" s="40" t="n">
        <f aca="false">100*('Perfil e pressupostos'!$F$14*AB60+'Perfil e pressupostos'!$F$15*AC60+'Perfil e pressupostos'!$F$16*AD60+'Perfil e pressupostos'!$F$17*AE60)/'Perfil e pressupostos'!$F$18</f>
        <v>28.5</v>
      </c>
      <c r="AG60" s="41" t="n">
        <f aca="false">INDEX('Perfil e pressupostos'!$B$25:$B$28,MATCH(V60,'Perfil e pressupostos'!$A$25:$A$28,0))</f>
        <v>0.03</v>
      </c>
      <c r="AH60" s="41" t="n">
        <f aca="false">MIN('Perfil e pressupostos'!$F$29,AG60*('Perfil e pressupostos'!$F$25+'Perfil e pressupostos'!$F$26*AF60/100)*IF(AD60&lt;='Perfil e pressupostos'!$F$28,'Perfil e pressupostos'!$F$27,1))</f>
        <v>0.02226</v>
      </c>
      <c r="AI60" s="35" t="str">
        <f aca="false">IF(AQ60=0,"—",IF(AH60&gt;='Perfil e pressupostos'!$F$30,"Boa",IF(AH60&gt;='Perfil e pressupostos'!$F$31,"Média","Baixa")))</f>
        <v>Baixa</v>
      </c>
      <c r="AJ60" s="7" t="s">
        <v>358</v>
      </c>
      <c r="AK60" s="7" t="s">
        <v>215</v>
      </c>
      <c r="AL60" s="35" t="str">
        <f aca="false">IF(AK60="Prazo expirado","Prazo passado",IF(LEFT(AK60,11)="Monitorizar","Monitorizar",IF(Y60&gt;=3.5,"Prioridade",IF(Y60&gt;=3,"Candidatar (reach)","Reserva"))))</f>
        <v>Candidatar (reach)</v>
      </c>
      <c r="AM60" s="7" t="s">
        <v>548</v>
      </c>
      <c r="AN60" s="42" t="s">
        <v>616</v>
      </c>
      <c r="AO60" s="7" t="s">
        <v>187</v>
      </c>
      <c r="AP60" s="7" t="s">
        <v>218</v>
      </c>
      <c r="AQ60" s="7" t="n">
        <f aca="false">IF(OR(AK60="Prazo expirado",LEFT(AK60,11)="Monitorizar"),0,1)</f>
        <v>1</v>
      </c>
      <c r="AR60" s="41" t="n">
        <f aca="false">IF(AQ60=0,0,AH60)</f>
        <v>0.02226</v>
      </c>
      <c r="AS60" s="41" t="n">
        <f aca="false">AR60*W60/5</f>
        <v>0.020034</v>
      </c>
      <c r="AT60" s="43" t="n">
        <f aca="false">AS60+W60/1000000+(1000-ROW())/1000000000</f>
        <v>0.02003944</v>
      </c>
      <c r="AU60" s="35" t="n">
        <f aca="false">RANK(AT60,$AT$4:$AT$227)</f>
        <v>81</v>
      </c>
      <c r="AV60" s="40" t="n">
        <f aca="false">IF(AQ60=0,"",AF60)</f>
        <v>28.5</v>
      </c>
      <c r="AW60" s="41" t="n">
        <f aca="false">IF(AQ60=0,"",AH60)</f>
        <v>0.02226</v>
      </c>
    </row>
    <row r="61" customFormat="false" ht="45" hidden="false" customHeight="true" outlineLevel="0" collapsed="false">
      <c r="A61" s="35" t="n">
        <v>58</v>
      </c>
      <c r="B61" s="7" t="s">
        <v>189</v>
      </c>
      <c r="C61" s="7" t="s">
        <v>617</v>
      </c>
      <c r="D61" s="7" t="s">
        <v>169</v>
      </c>
      <c r="E61" s="7" t="s">
        <v>170</v>
      </c>
      <c r="F61" s="35" t="s">
        <v>85</v>
      </c>
      <c r="G61" s="7" t="s">
        <v>205</v>
      </c>
      <c r="H61" s="7" t="s">
        <v>172</v>
      </c>
      <c r="I61" s="7" t="s">
        <v>173</v>
      </c>
      <c r="J61" s="35" t="s">
        <v>207</v>
      </c>
      <c r="K61" s="7" t="s">
        <v>544</v>
      </c>
      <c r="L61" s="7" t="s">
        <v>545</v>
      </c>
      <c r="M61" s="7" t="s">
        <v>546</v>
      </c>
      <c r="N61" s="7" t="s">
        <v>215</v>
      </c>
      <c r="O61" s="7" t="s">
        <v>179</v>
      </c>
      <c r="P61" s="35" t="str">
        <f aca="true">IF(ISNUMBER(O61),O61-TODAY(),"")</f>
        <v/>
      </c>
      <c r="Q61" s="7" t="s">
        <v>179</v>
      </c>
      <c r="R61" s="36" t="n">
        <v>1500</v>
      </c>
      <c r="S61" s="36" t="n">
        <v>2500</v>
      </c>
      <c r="T61" s="37" t="n">
        <f aca="false">IF(R61="","",AVERAGE(R61,S61))</f>
        <v>2000</v>
      </c>
      <c r="U61" s="7" t="s">
        <v>547</v>
      </c>
      <c r="V61" s="38" t="s">
        <v>199</v>
      </c>
      <c r="W61" s="38" t="n">
        <v>4.5</v>
      </c>
      <c r="X61" s="38" t="n">
        <v>1.1</v>
      </c>
      <c r="Y61" s="35" t="n">
        <f aca="false">ROUND(0.6*W61+0.4*X61,1)</f>
        <v>3.1</v>
      </c>
      <c r="Z61" s="38" t="s">
        <v>213</v>
      </c>
      <c r="AA61" s="38" t="n">
        <v>1</v>
      </c>
      <c r="AB61" s="39" t="n">
        <f aca="false">1-AA61*(1-INDEX('Perfil e pressupostos'!$C$14:$C$20,MATCH(Z61,'Perfil e pressupostos'!$A$14:$A$20,0)))</f>
        <v>0.05</v>
      </c>
      <c r="AC61" s="38" t="n">
        <v>0.3</v>
      </c>
      <c r="AD61" s="38" t="n">
        <v>0.3</v>
      </c>
      <c r="AE61" s="38" t="n">
        <v>0.7</v>
      </c>
      <c r="AF61" s="40" t="n">
        <f aca="false">100*('Perfil e pressupostos'!$F$14*AB61+'Perfil e pressupostos'!$F$15*AC61+'Perfil e pressupostos'!$F$16*AD61+'Perfil e pressupostos'!$F$17*AE61)/'Perfil e pressupostos'!$F$18</f>
        <v>28.5</v>
      </c>
      <c r="AG61" s="41" t="n">
        <f aca="false">INDEX('Perfil e pressupostos'!$B$25:$B$28,MATCH(V61,'Perfil e pressupostos'!$A$25:$A$28,0))</f>
        <v>0.03</v>
      </c>
      <c r="AH61" s="41" t="n">
        <f aca="false">MIN('Perfil e pressupostos'!$F$29,AG61*('Perfil e pressupostos'!$F$25+'Perfil e pressupostos'!$F$26*AF61/100)*IF(AD61&lt;='Perfil e pressupostos'!$F$28,'Perfil e pressupostos'!$F$27,1))</f>
        <v>0.02226</v>
      </c>
      <c r="AI61" s="35" t="str">
        <f aca="false">IF(AQ61=0,"—",IF(AH61&gt;='Perfil e pressupostos'!$F$30,"Boa",IF(AH61&gt;='Perfil e pressupostos'!$F$31,"Média","Baixa")))</f>
        <v>Baixa</v>
      </c>
      <c r="AJ61" s="7" t="s">
        <v>358</v>
      </c>
      <c r="AK61" s="7" t="s">
        <v>215</v>
      </c>
      <c r="AL61" s="35" t="str">
        <f aca="false">IF(AK61="Prazo expirado","Prazo passado",IF(LEFT(AK61,11)="Monitorizar","Monitorizar",IF(Y61&gt;=3.5,"Prioridade",IF(Y61&gt;=3,"Candidatar (reach)","Reserva"))))</f>
        <v>Candidatar (reach)</v>
      </c>
      <c r="AM61" s="7" t="s">
        <v>548</v>
      </c>
      <c r="AN61" s="42" t="s">
        <v>618</v>
      </c>
      <c r="AO61" s="7" t="s">
        <v>187</v>
      </c>
      <c r="AP61" s="7" t="s">
        <v>218</v>
      </c>
      <c r="AQ61" s="7" t="n">
        <f aca="false">IF(OR(AK61="Prazo expirado",LEFT(AK61,11)="Monitorizar"),0,1)</f>
        <v>1</v>
      </c>
      <c r="AR61" s="41" t="n">
        <f aca="false">IF(AQ61=0,0,AH61)</f>
        <v>0.02226</v>
      </c>
      <c r="AS61" s="41" t="n">
        <f aca="false">AR61*W61/5</f>
        <v>0.020034</v>
      </c>
      <c r="AT61" s="43" t="n">
        <f aca="false">AS61+W61/1000000+(1000-ROW())/1000000000</f>
        <v>0.020039439</v>
      </c>
      <c r="AU61" s="35" t="n">
        <f aca="false">RANK(AT61,$AT$4:$AT$227)</f>
        <v>82</v>
      </c>
      <c r="AV61" s="40" t="n">
        <f aca="false">IF(AQ61=0,"",AF61)</f>
        <v>28.5</v>
      </c>
      <c r="AW61" s="41" t="n">
        <f aca="false">IF(AQ61=0,"",AH61)</f>
        <v>0.02226</v>
      </c>
    </row>
    <row r="62" customFormat="false" ht="57" hidden="false" customHeight="true" outlineLevel="0" collapsed="false">
      <c r="A62" s="35" t="n">
        <v>59</v>
      </c>
      <c r="B62" s="7" t="s">
        <v>189</v>
      </c>
      <c r="C62" s="7" t="s">
        <v>619</v>
      </c>
      <c r="D62" s="7" t="s">
        <v>169</v>
      </c>
      <c r="E62" s="7" t="s">
        <v>170</v>
      </c>
      <c r="F62" s="35" t="s">
        <v>85</v>
      </c>
      <c r="G62" s="7" t="s">
        <v>205</v>
      </c>
      <c r="H62" s="7" t="s">
        <v>172</v>
      </c>
      <c r="I62" s="7" t="s">
        <v>206</v>
      </c>
      <c r="J62" s="35" t="s">
        <v>207</v>
      </c>
      <c r="K62" s="7" t="s">
        <v>544</v>
      </c>
      <c r="L62" s="7" t="s">
        <v>545</v>
      </c>
      <c r="M62" s="7" t="s">
        <v>546</v>
      </c>
      <c r="N62" s="7" t="s">
        <v>215</v>
      </c>
      <c r="O62" s="7" t="s">
        <v>179</v>
      </c>
      <c r="P62" s="35" t="str">
        <f aca="true">IF(ISNUMBER(O62),O62-TODAY(),"")</f>
        <v/>
      </c>
      <c r="Q62" s="7" t="s">
        <v>179</v>
      </c>
      <c r="R62" s="36" t="n">
        <v>1500</v>
      </c>
      <c r="S62" s="36" t="n">
        <v>2500</v>
      </c>
      <c r="T62" s="37" t="n">
        <f aca="false">IF(R62="","",AVERAGE(R62,S62))</f>
        <v>2000</v>
      </c>
      <c r="U62" s="7" t="s">
        <v>547</v>
      </c>
      <c r="V62" s="38" t="s">
        <v>181</v>
      </c>
      <c r="W62" s="38" t="n">
        <v>5</v>
      </c>
      <c r="X62" s="38" t="n">
        <v>1</v>
      </c>
      <c r="Y62" s="35" t="n">
        <f aca="false">ROUND(0.6*W62+0.4*X62,1)</f>
        <v>3.4</v>
      </c>
      <c r="Z62" s="38" t="s">
        <v>213</v>
      </c>
      <c r="AA62" s="38" t="n">
        <v>1</v>
      </c>
      <c r="AB62" s="39" t="n">
        <f aca="false">1-AA62*(1-INDEX('Perfil e pressupostos'!$C$14:$C$20,MATCH(Z62,'Perfil e pressupostos'!$A$14:$A$20,0)))</f>
        <v>0.05</v>
      </c>
      <c r="AC62" s="38" t="n">
        <v>0.2</v>
      </c>
      <c r="AD62" s="38" t="n">
        <v>0.3</v>
      </c>
      <c r="AE62" s="38" t="n">
        <v>0.7</v>
      </c>
      <c r="AF62" s="40" t="n">
        <f aca="false">100*('Perfil e pressupostos'!$F$14*AB62+'Perfil e pressupostos'!$F$15*AC62+'Perfil e pressupostos'!$F$16*AD62+'Perfil e pressupostos'!$F$17*AE62)/'Perfil e pressupostos'!$F$18</f>
        <v>25.5</v>
      </c>
      <c r="AG62" s="41" t="n">
        <f aca="false">INDEX('Perfil e pressupostos'!$B$25:$B$28,MATCH(V62,'Perfil e pressupostos'!$A$25:$A$28,0))</f>
        <v>0.01</v>
      </c>
      <c r="AH62" s="41" t="n">
        <f aca="false">MIN('Perfil e pressupostos'!$F$29,AG62*('Perfil e pressupostos'!$F$25+'Perfil e pressupostos'!$F$26*AF62/100)*IF(AD62&lt;='Perfil e pressupostos'!$F$28,'Perfil e pressupostos'!$F$27,1))</f>
        <v>0.00706</v>
      </c>
      <c r="AI62" s="35" t="str">
        <f aca="false">IF(AQ62=0,"—",IF(AH62&gt;='Perfil e pressupostos'!$F$30,"Boa",IF(AH62&gt;='Perfil e pressupostos'!$F$31,"Média","Baixa")))</f>
        <v>Baixa</v>
      </c>
      <c r="AJ62" s="7" t="s">
        <v>251</v>
      </c>
      <c r="AK62" s="7" t="s">
        <v>215</v>
      </c>
      <c r="AL62" s="35" t="str">
        <f aca="false">IF(AK62="Prazo expirado","Prazo passado",IF(LEFT(AK62,11)="Monitorizar","Monitorizar",IF(Y62&gt;=3.5,"Prioridade",IF(Y62&gt;=3,"Candidatar (reach)","Reserva"))))</f>
        <v>Candidatar (reach)</v>
      </c>
      <c r="AM62" s="7" t="s">
        <v>620</v>
      </c>
      <c r="AN62" s="42" t="s">
        <v>621</v>
      </c>
      <c r="AO62" s="7" t="s">
        <v>187</v>
      </c>
      <c r="AP62" s="7" t="s">
        <v>218</v>
      </c>
      <c r="AQ62" s="7" t="n">
        <f aca="false">IF(OR(AK62="Prazo expirado",LEFT(AK62,11)="Monitorizar"),0,1)</f>
        <v>1</v>
      </c>
      <c r="AR62" s="41" t="n">
        <f aca="false">IF(AQ62=0,0,AH62)</f>
        <v>0.00706</v>
      </c>
      <c r="AS62" s="41" t="n">
        <f aca="false">AR62*W62/5</f>
        <v>0.00706</v>
      </c>
      <c r="AT62" s="43" t="n">
        <f aca="false">AS62+W62/1000000+(1000-ROW())/1000000000</f>
        <v>0.007065938</v>
      </c>
      <c r="AU62" s="35" t="n">
        <f aca="false">RANK(AT62,$AT$4:$AT$227)</f>
        <v>179</v>
      </c>
      <c r="AV62" s="40" t="n">
        <f aca="false">IF(AQ62=0,"",AF62)</f>
        <v>25.5</v>
      </c>
      <c r="AW62" s="41" t="n">
        <f aca="false">IF(AQ62=0,"",AH62)</f>
        <v>0.00706</v>
      </c>
    </row>
    <row r="63" customFormat="false" ht="45" hidden="false" customHeight="true" outlineLevel="0" collapsed="false">
      <c r="A63" s="35" t="n">
        <v>60</v>
      </c>
      <c r="B63" s="7" t="s">
        <v>189</v>
      </c>
      <c r="C63" s="7" t="s">
        <v>622</v>
      </c>
      <c r="D63" s="7" t="s">
        <v>603</v>
      </c>
      <c r="E63" s="7" t="s">
        <v>170</v>
      </c>
      <c r="F63" s="35" t="s">
        <v>85</v>
      </c>
      <c r="G63" s="7" t="s">
        <v>205</v>
      </c>
      <c r="H63" s="7" t="s">
        <v>172</v>
      </c>
      <c r="I63" s="7" t="s">
        <v>206</v>
      </c>
      <c r="J63" s="35" t="s">
        <v>207</v>
      </c>
      <c r="K63" s="7" t="s">
        <v>604</v>
      </c>
      <c r="L63" s="7" t="s">
        <v>605</v>
      </c>
      <c r="M63" s="7" t="s">
        <v>546</v>
      </c>
      <c r="N63" s="7" t="s">
        <v>215</v>
      </c>
      <c r="O63" s="7" t="s">
        <v>179</v>
      </c>
      <c r="P63" s="35" t="str">
        <f aca="true">IF(ISNUMBER(O63),O63-TODAY(),"")</f>
        <v/>
      </c>
      <c r="Q63" s="7" t="s">
        <v>179</v>
      </c>
      <c r="R63" s="36" t="n">
        <v>1500</v>
      </c>
      <c r="S63" s="36" t="n">
        <v>2500</v>
      </c>
      <c r="T63" s="37" t="n">
        <f aca="false">IF(R63="","",AVERAGE(R63,S63))</f>
        <v>2000</v>
      </c>
      <c r="U63" s="7" t="s">
        <v>547</v>
      </c>
      <c r="V63" s="38" t="s">
        <v>181</v>
      </c>
      <c r="W63" s="38" t="n">
        <v>3.5</v>
      </c>
      <c r="X63" s="38" t="n">
        <v>1.1</v>
      </c>
      <c r="Y63" s="35" t="n">
        <f aca="false">ROUND(0.6*W63+0.4*X63,1)</f>
        <v>2.5</v>
      </c>
      <c r="Z63" s="38" t="s">
        <v>213</v>
      </c>
      <c r="AA63" s="38" t="n">
        <v>1</v>
      </c>
      <c r="AB63" s="39" t="n">
        <f aca="false">1-AA63*(1-INDEX('Perfil e pressupostos'!$C$14:$C$20,MATCH(Z63,'Perfil e pressupostos'!$A$14:$A$20,0)))</f>
        <v>0.05</v>
      </c>
      <c r="AC63" s="38" t="n">
        <v>0.3</v>
      </c>
      <c r="AD63" s="38" t="n">
        <v>0.3</v>
      </c>
      <c r="AE63" s="38" t="n">
        <v>0.7</v>
      </c>
      <c r="AF63" s="40" t="n">
        <f aca="false">100*('Perfil e pressupostos'!$F$14*AB63+'Perfil e pressupostos'!$F$15*AC63+'Perfil e pressupostos'!$F$16*AD63+'Perfil e pressupostos'!$F$17*AE63)/'Perfil e pressupostos'!$F$18</f>
        <v>28.5</v>
      </c>
      <c r="AG63" s="41" t="n">
        <f aca="false">INDEX('Perfil e pressupostos'!$B$25:$B$28,MATCH(V63,'Perfil e pressupostos'!$A$25:$A$28,0))</f>
        <v>0.01</v>
      </c>
      <c r="AH63" s="41" t="n">
        <f aca="false">MIN('Perfil e pressupostos'!$F$29,AG63*('Perfil e pressupostos'!$F$25+'Perfil e pressupostos'!$F$26*AF63/100)*IF(AD63&lt;='Perfil e pressupostos'!$F$28,'Perfil e pressupostos'!$F$27,1))</f>
        <v>0.00742</v>
      </c>
      <c r="AI63" s="35" t="str">
        <f aca="false">IF(AQ63=0,"—",IF(AH63&gt;='Perfil e pressupostos'!$F$30,"Boa",IF(AH63&gt;='Perfil e pressupostos'!$F$31,"Média","Baixa")))</f>
        <v>Baixa</v>
      </c>
      <c r="AJ63" s="7" t="s">
        <v>358</v>
      </c>
      <c r="AK63" s="7" t="s">
        <v>215</v>
      </c>
      <c r="AL63" s="35" t="str">
        <f aca="false">IF(AK63="Prazo expirado","Prazo passado",IF(LEFT(AK63,11)="Monitorizar","Monitorizar",IF(Y63&gt;=3.5,"Prioridade",IF(Y63&gt;=3,"Candidatar (reach)","Reserva"))))</f>
        <v>Reserva</v>
      </c>
      <c r="AM63" s="7" t="s">
        <v>548</v>
      </c>
      <c r="AN63" s="42" t="s">
        <v>623</v>
      </c>
      <c r="AO63" s="7" t="s">
        <v>187</v>
      </c>
      <c r="AP63" s="7" t="s">
        <v>218</v>
      </c>
      <c r="AQ63" s="7" t="n">
        <f aca="false">IF(OR(AK63="Prazo expirado",LEFT(AK63,11)="Monitorizar"),0,1)</f>
        <v>1</v>
      </c>
      <c r="AR63" s="41" t="n">
        <f aca="false">IF(AQ63=0,0,AH63)</f>
        <v>0.00742</v>
      </c>
      <c r="AS63" s="41" t="n">
        <f aca="false">AR63*W63/5</f>
        <v>0.005194</v>
      </c>
      <c r="AT63" s="43" t="n">
        <f aca="false">AS63+W63/1000000+(1000-ROW())/1000000000</f>
        <v>0.005198437</v>
      </c>
      <c r="AU63" s="35" t="n">
        <f aca="false">RANK(AT63,$AT$4:$AT$227)</f>
        <v>198</v>
      </c>
      <c r="AV63" s="40" t="n">
        <f aca="false">IF(AQ63=0,"",AF63)</f>
        <v>28.5</v>
      </c>
      <c r="AW63" s="41" t="n">
        <f aca="false">IF(AQ63=0,"",AH63)</f>
        <v>0.00742</v>
      </c>
    </row>
    <row r="64" customFormat="false" ht="45" hidden="false" customHeight="true" outlineLevel="0" collapsed="false">
      <c r="A64" s="35" t="n">
        <v>61</v>
      </c>
      <c r="B64" s="7" t="s">
        <v>189</v>
      </c>
      <c r="C64" s="7" t="s">
        <v>624</v>
      </c>
      <c r="D64" s="7" t="s">
        <v>603</v>
      </c>
      <c r="E64" s="7" t="s">
        <v>170</v>
      </c>
      <c r="F64" s="35" t="s">
        <v>85</v>
      </c>
      <c r="G64" s="7" t="s">
        <v>205</v>
      </c>
      <c r="H64" s="7" t="s">
        <v>172</v>
      </c>
      <c r="I64" s="7" t="s">
        <v>173</v>
      </c>
      <c r="J64" s="35" t="s">
        <v>207</v>
      </c>
      <c r="K64" s="7" t="s">
        <v>604</v>
      </c>
      <c r="L64" s="7" t="s">
        <v>605</v>
      </c>
      <c r="M64" s="7" t="s">
        <v>546</v>
      </c>
      <c r="N64" s="7" t="s">
        <v>215</v>
      </c>
      <c r="O64" s="7" t="s">
        <v>179</v>
      </c>
      <c r="P64" s="35" t="str">
        <f aca="true">IF(ISNUMBER(O64),O64-TODAY(),"")</f>
        <v/>
      </c>
      <c r="Q64" s="7" t="s">
        <v>179</v>
      </c>
      <c r="R64" s="36" t="n">
        <v>1500</v>
      </c>
      <c r="S64" s="36" t="n">
        <v>2500</v>
      </c>
      <c r="T64" s="37" t="n">
        <f aca="false">IF(R64="","",AVERAGE(R64,S64))</f>
        <v>2000</v>
      </c>
      <c r="U64" s="7" t="s">
        <v>547</v>
      </c>
      <c r="V64" s="38" t="s">
        <v>181</v>
      </c>
      <c r="W64" s="38" t="n">
        <v>3.5</v>
      </c>
      <c r="X64" s="38" t="n">
        <v>1.1</v>
      </c>
      <c r="Y64" s="35" t="n">
        <f aca="false">ROUND(0.6*W64+0.4*X64,1)</f>
        <v>2.5</v>
      </c>
      <c r="Z64" s="38" t="s">
        <v>213</v>
      </c>
      <c r="AA64" s="38" t="n">
        <v>1</v>
      </c>
      <c r="AB64" s="39" t="n">
        <f aca="false">1-AA64*(1-INDEX('Perfil e pressupostos'!$C$14:$C$20,MATCH(Z64,'Perfil e pressupostos'!$A$14:$A$20,0)))</f>
        <v>0.05</v>
      </c>
      <c r="AC64" s="38" t="n">
        <v>0.3</v>
      </c>
      <c r="AD64" s="38" t="n">
        <v>0.3</v>
      </c>
      <c r="AE64" s="38" t="n">
        <v>0.7</v>
      </c>
      <c r="AF64" s="40" t="n">
        <f aca="false">100*('Perfil e pressupostos'!$F$14*AB64+'Perfil e pressupostos'!$F$15*AC64+'Perfil e pressupostos'!$F$16*AD64+'Perfil e pressupostos'!$F$17*AE64)/'Perfil e pressupostos'!$F$18</f>
        <v>28.5</v>
      </c>
      <c r="AG64" s="41" t="n">
        <f aca="false">INDEX('Perfil e pressupostos'!$B$25:$B$28,MATCH(V64,'Perfil e pressupostos'!$A$25:$A$28,0))</f>
        <v>0.01</v>
      </c>
      <c r="AH64" s="41" t="n">
        <f aca="false">MIN('Perfil e pressupostos'!$F$29,AG64*('Perfil e pressupostos'!$F$25+'Perfil e pressupostos'!$F$26*AF64/100)*IF(AD64&lt;='Perfil e pressupostos'!$F$28,'Perfil e pressupostos'!$F$27,1))</f>
        <v>0.00742</v>
      </c>
      <c r="AI64" s="35" t="str">
        <f aca="false">IF(AQ64=0,"—",IF(AH64&gt;='Perfil e pressupostos'!$F$30,"Boa",IF(AH64&gt;='Perfil e pressupostos'!$F$31,"Média","Baixa")))</f>
        <v>Baixa</v>
      </c>
      <c r="AJ64" s="7" t="s">
        <v>358</v>
      </c>
      <c r="AK64" s="7" t="s">
        <v>215</v>
      </c>
      <c r="AL64" s="35" t="str">
        <f aca="false">IF(AK64="Prazo expirado","Prazo passado",IF(LEFT(AK64,11)="Monitorizar","Monitorizar",IF(Y64&gt;=3.5,"Prioridade",IF(Y64&gt;=3,"Candidatar (reach)","Reserva"))))</f>
        <v>Reserva</v>
      </c>
      <c r="AM64" s="7" t="s">
        <v>548</v>
      </c>
      <c r="AN64" s="42" t="s">
        <v>625</v>
      </c>
      <c r="AO64" s="7" t="s">
        <v>187</v>
      </c>
      <c r="AP64" s="7" t="s">
        <v>218</v>
      </c>
      <c r="AQ64" s="7" t="n">
        <f aca="false">IF(OR(AK64="Prazo expirado",LEFT(AK64,11)="Monitorizar"),0,1)</f>
        <v>1</v>
      </c>
      <c r="AR64" s="41" t="n">
        <f aca="false">IF(AQ64=0,0,AH64)</f>
        <v>0.00742</v>
      </c>
      <c r="AS64" s="41" t="n">
        <f aca="false">AR64*W64/5</f>
        <v>0.005194</v>
      </c>
      <c r="AT64" s="43" t="n">
        <f aca="false">AS64+W64/1000000+(1000-ROW())/1000000000</f>
        <v>0.005198436</v>
      </c>
      <c r="AU64" s="35" t="n">
        <f aca="false">RANK(AT64,$AT$4:$AT$227)</f>
        <v>199</v>
      </c>
      <c r="AV64" s="40" t="n">
        <f aca="false">IF(AQ64=0,"",AF64)</f>
        <v>28.5</v>
      </c>
      <c r="AW64" s="41" t="n">
        <f aca="false">IF(AQ64=0,"",AH64)</f>
        <v>0.00742</v>
      </c>
    </row>
    <row r="65" customFormat="false" ht="45" hidden="false" customHeight="true" outlineLevel="0" collapsed="false">
      <c r="A65" s="35" t="n">
        <v>62</v>
      </c>
      <c r="B65" s="7" t="s">
        <v>189</v>
      </c>
      <c r="C65" s="7" t="s">
        <v>626</v>
      </c>
      <c r="D65" s="7" t="s">
        <v>627</v>
      </c>
      <c r="E65" s="7" t="s">
        <v>170</v>
      </c>
      <c r="F65" s="35" t="s">
        <v>87</v>
      </c>
      <c r="G65" s="7" t="s">
        <v>457</v>
      </c>
      <c r="H65" s="7" t="s">
        <v>172</v>
      </c>
      <c r="I65" s="7" t="s">
        <v>173</v>
      </c>
      <c r="J65" s="35" t="s">
        <v>207</v>
      </c>
      <c r="K65" s="7" t="s">
        <v>628</v>
      </c>
      <c r="L65" s="7" t="s">
        <v>629</v>
      </c>
      <c r="M65" s="7" t="s">
        <v>630</v>
      </c>
      <c r="N65" s="7" t="s">
        <v>215</v>
      </c>
      <c r="O65" s="7" t="s">
        <v>179</v>
      </c>
      <c r="P65" s="35" t="str">
        <f aca="true">IF(ISNUMBER(O65),O65-TODAY(),"")</f>
        <v/>
      </c>
      <c r="Q65" s="7" t="s">
        <v>179</v>
      </c>
      <c r="R65" s="36" t="n">
        <v>1800</v>
      </c>
      <c r="S65" s="36" t="n">
        <v>2800</v>
      </c>
      <c r="T65" s="37" t="n">
        <f aca="false">IF(R65="","",AVERAGE(R65,S65))</f>
        <v>2300</v>
      </c>
      <c r="U65" s="7" t="s">
        <v>547</v>
      </c>
      <c r="V65" s="38" t="s">
        <v>181</v>
      </c>
      <c r="W65" s="38" t="n">
        <v>3</v>
      </c>
      <c r="X65" s="38" t="n">
        <v>1.2</v>
      </c>
      <c r="Y65" s="35" t="n">
        <f aca="false">ROUND(0.6*W65+0.4*X65,1)</f>
        <v>2.3</v>
      </c>
      <c r="Z65" s="38" t="s">
        <v>304</v>
      </c>
      <c r="AA65" s="38" t="n">
        <v>0.5</v>
      </c>
      <c r="AB65" s="39" t="n">
        <f aca="false">1-AA65*(1-INDEX('Perfil e pressupostos'!$C$14:$C$20,MATCH(Z65,'Perfil e pressupostos'!$A$14:$A$20,0)))</f>
        <v>0.525</v>
      </c>
      <c r="AC65" s="38" t="n">
        <v>0.3</v>
      </c>
      <c r="AD65" s="38" t="n">
        <v>0.4</v>
      </c>
      <c r="AE65" s="38" t="n">
        <v>0.7</v>
      </c>
      <c r="AF65" s="40" t="n">
        <f aca="false">100*('Perfil e pressupostos'!$F$14*AB65+'Perfil e pressupostos'!$F$15*AC65+'Perfil e pressupostos'!$F$16*AD65+'Perfil e pressupostos'!$F$17*AE65)/'Perfil e pressupostos'!$F$18</f>
        <v>45.25</v>
      </c>
      <c r="AG65" s="41" t="n">
        <f aca="false">INDEX('Perfil e pressupostos'!$B$25:$B$28,MATCH(V65,'Perfil e pressupostos'!$A$25:$A$28,0))</f>
        <v>0.01</v>
      </c>
      <c r="AH65" s="41" t="n">
        <f aca="false">MIN('Perfil e pressupostos'!$F$29,AG65*('Perfil e pressupostos'!$F$25+'Perfil e pressupostos'!$F$26*AF65/100)*IF(AD65&lt;='Perfil e pressupostos'!$F$28,'Perfil e pressupostos'!$F$27,1))</f>
        <v>0.00943</v>
      </c>
      <c r="AI65" s="35" t="str">
        <f aca="false">IF(AQ65=0,"—",IF(AH65&gt;='Perfil e pressupostos'!$F$30,"Boa",IF(AH65&gt;='Perfil e pressupostos'!$F$31,"Média","Baixa")))</f>
        <v>Baixa</v>
      </c>
      <c r="AJ65" s="7" t="s">
        <v>460</v>
      </c>
      <c r="AK65" s="7" t="s">
        <v>215</v>
      </c>
      <c r="AL65" s="35" t="str">
        <f aca="false">IF(AK65="Prazo expirado","Prazo passado",IF(LEFT(AK65,11)="Monitorizar","Monitorizar",IF(Y65&gt;=3.5,"Prioridade",IF(Y65&gt;=3,"Candidatar (reach)","Reserva"))))</f>
        <v>Reserva</v>
      </c>
      <c r="AM65" s="7" t="s">
        <v>548</v>
      </c>
      <c r="AN65" s="42" t="s">
        <v>631</v>
      </c>
      <c r="AO65" s="7" t="s">
        <v>187</v>
      </c>
      <c r="AP65" s="7" t="s">
        <v>218</v>
      </c>
      <c r="AQ65" s="7" t="n">
        <f aca="false">IF(OR(AK65="Prazo expirado",LEFT(AK65,11)="Monitorizar"),0,1)</f>
        <v>1</v>
      </c>
      <c r="AR65" s="41" t="n">
        <f aca="false">IF(AQ65=0,0,AH65)</f>
        <v>0.00943</v>
      </c>
      <c r="AS65" s="41" t="n">
        <f aca="false">AR65*W65/5</f>
        <v>0.005658</v>
      </c>
      <c r="AT65" s="43" t="n">
        <f aca="false">AS65+W65/1000000+(1000-ROW())/1000000000</f>
        <v>0.005661935</v>
      </c>
      <c r="AU65" s="35" t="n">
        <f aca="false">RANK(AT65,$AT$4:$AT$227)</f>
        <v>196</v>
      </c>
      <c r="AV65" s="40" t="n">
        <f aca="false">IF(AQ65=0,"",AF65)</f>
        <v>45.25</v>
      </c>
      <c r="AW65" s="41" t="n">
        <f aca="false">IF(AQ65=0,"",AH65)</f>
        <v>0.00943</v>
      </c>
    </row>
    <row r="66" customFormat="false" ht="45" hidden="false" customHeight="true" outlineLevel="0" collapsed="false">
      <c r="A66" s="35" t="n">
        <v>63</v>
      </c>
      <c r="B66" s="7" t="s">
        <v>189</v>
      </c>
      <c r="C66" s="7" t="s">
        <v>632</v>
      </c>
      <c r="D66" s="7" t="s">
        <v>191</v>
      </c>
      <c r="E66" s="7" t="s">
        <v>170</v>
      </c>
      <c r="F66" s="35" t="s">
        <v>81</v>
      </c>
      <c r="G66" s="7" t="s">
        <v>171</v>
      </c>
      <c r="H66" s="7" t="s">
        <v>172</v>
      </c>
      <c r="I66" s="7" t="s">
        <v>465</v>
      </c>
      <c r="J66" s="35" t="s">
        <v>207</v>
      </c>
      <c r="K66" s="7" t="s">
        <v>612</v>
      </c>
      <c r="L66" s="7" t="s">
        <v>613</v>
      </c>
      <c r="M66" s="7" t="s">
        <v>576</v>
      </c>
      <c r="N66" s="7" t="s">
        <v>215</v>
      </c>
      <c r="O66" s="7" t="s">
        <v>179</v>
      </c>
      <c r="P66" s="35" t="str">
        <f aca="true">IF(ISNUMBER(O66),O66-TODAY(),"")</f>
        <v/>
      </c>
      <c r="Q66" s="7" t="s">
        <v>179</v>
      </c>
      <c r="R66" s="36" t="n">
        <v>2800</v>
      </c>
      <c r="S66" s="36" t="n">
        <v>4000</v>
      </c>
      <c r="T66" s="37" t="n">
        <f aca="false">IF(R66="","",AVERAGE(R66,S66))</f>
        <v>3400</v>
      </c>
      <c r="U66" s="7" t="s">
        <v>547</v>
      </c>
      <c r="V66" s="38" t="s">
        <v>181</v>
      </c>
      <c r="W66" s="38" t="n">
        <v>4</v>
      </c>
      <c r="X66" s="38" t="n">
        <v>1.5</v>
      </c>
      <c r="Y66" s="35" t="n">
        <f aca="false">ROUND(0.6*W66+0.4*X66,1)</f>
        <v>3</v>
      </c>
      <c r="Z66" s="38" t="s">
        <v>182</v>
      </c>
      <c r="AA66" s="38" t="n">
        <v>1</v>
      </c>
      <c r="AB66" s="39" t="n">
        <f aca="false">1-AA66*(1-INDEX('Perfil e pressupostos'!$C$14:$C$20,MATCH(Z66,'Perfil e pressupostos'!$A$14:$A$20,0)))</f>
        <v>0.95</v>
      </c>
      <c r="AC66" s="38" t="n">
        <v>0.3</v>
      </c>
      <c r="AD66" s="38" t="n">
        <v>0.5</v>
      </c>
      <c r="AE66" s="38" t="n">
        <v>0.7</v>
      </c>
      <c r="AF66" s="40" t="n">
        <f aca="false">100*('Perfil e pressupostos'!$F$14*AB66+'Perfil e pressupostos'!$F$15*AC66+'Perfil e pressupostos'!$F$16*AD66+'Perfil e pressupostos'!$F$17*AE66)/'Perfil e pressupostos'!$F$18</f>
        <v>60.5</v>
      </c>
      <c r="AG66" s="41" t="n">
        <f aca="false">INDEX('Perfil e pressupostos'!$B$25:$B$28,MATCH(V66,'Perfil e pressupostos'!$A$25:$A$28,0))</f>
        <v>0.01</v>
      </c>
      <c r="AH66" s="41" t="n">
        <f aca="false">MIN('Perfil e pressupostos'!$F$29,AG66*('Perfil e pressupostos'!$F$25+'Perfil e pressupostos'!$F$26*AF66/100)*IF(AD66&lt;='Perfil e pressupostos'!$F$28,'Perfil e pressupostos'!$F$27,1))</f>
        <v>0.01126</v>
      </c>
      <c r="AI66" s="35" t="str">
        <f aca="false">IF(AQ66=0,"—",IF(AH66&gt;='Perfil e pressupostos'!$F$30,"Boa",IF(AH66&gt;='Perfil e pressupostos'!$F$31,"Média","Baixa")))</f>
        <v>Baixa</v>
      </c>
      <c r="AJ66" s="7" t="s">
        <v>412</v>
      </c>
      <c r="AK66" s="7" t="s">
        <v>215</v>
      </c>
      <c r="AL66" s="35" t="str">
        <f aca="false">IF(AK66="Prazo expirado","Prazo passado",IF(LEFT(AK66,11)="Monitorizar","Monitorizar",IF(Y66&gt;=3.5,"Prioridade",IF(Y66&gt;=3,"Candidatar (reach)","Reserva"))))</f>
        <v>Candidatar (reach)</v>
      </c>
      <c r="AM66" s="7" t="s">
        <v>548</v>
      </c>
      <c r="AN66" s="42" t="s">
        <v>633</v>
      </c>
      <c r="AO66" s="7" t="s">
        <v>187</v>
      </c>
      <c r="AP66" s="7" t="s">
        <v>218</v>
      </c>
      <c r="AQ66" s="7" t="n">
        <f aca="false">IF(OR(AK66="Prazo expirado",LEFT(AK66,11)="Monitorizar"),0,1)</f>
        <v>1</v>
      </c>
      <c r="AR66" s="41" t="n">
        <f aca="false">IF(AQ66=0,0,AH66)</f>
        <v>0.01126</v>
      </c>
      <c r="AS66" s="41" t="n">
        <f aca="false">AR66*W66/5</f>
        <v>0.009008</v>
      </c>
      <c r="AT66" s="43" t="n">
        <f aca="false">AS66+W66/1000000+(1000-ROW())/1000000000</f>
        <v>0.009012934</v>
      </c>
      <c r="AU66" s="35" t="n">
        <f aca="false">RANK(AT66,$AT$4:$AT$227)</f>
        <v>128</v>
      </c>
      <c r="AV66" s="40" t="n">
        <f aca="false">IF(AQ66=0,"",AF66)</f>
        <v>60.5</v>
      </c>
      <c r="AW66" s="41" t="n">
        <f aca="false">IF(AQ66=0,"",AH66)</f>
        <v>0.01126</v>
      </c>
    </row>
    <row r="67" customFormat="false" ht="45" hidden="false" customHeight="true" outlineLevel="0" collapsed="false">
      <c r="A67" s="35" t="n">
        <v>64</v>
      </c>
      <c r="B67" s="7" t="s">
        <v>189</v>
      </c>
      <c r="C67" s="7" t="s">
        <v>634</v>
      </c>
      <c r="D67" s="7" t="s">
        <v>191</v>
      </c>
      <c r="E67" s="7" t="s">
        <v>170</v>
      </c>
      <c r="F67" s="35" t="s">
        <v>98</v>
      </c>
      <c r="G67" s="7" t="s">
        <v>635</v>
      </c>
      <c r="H67" s="7" t="s">
        <v>172</v>
      </c>
      <c r="I67" s="7" t="s">
        <v>465</v>
      </c>
      <c r="J67" s="35" t="s">
        <v>207</v>
      </c>
      <c r="K67" s="7" t="s">
        <v>612</v>
      </c>
      <c r="L67" s="7" t="s">
        <v>613</v>
      </c>
      <c r="M67" s="7" t="s">
        <v>576</v>
      </c>
      <c r="N67" s="7" t="s">
        <v>215</v>
      </c>
      <c r="O67" s="7" t="s">
        <v>179</v>
      </c>
      <c r="P67" s="35" t="str">
        <f aca="true">IF(ISNUMBER(O67),O67-TODAY(),"")</f>
        <v/>
      </c>
      <c r="Q67" s="7" t="s">
        <v>179</v>
      </c>
      <c r="R67" s="36" t="n">
        <v>800</v>
      </c>
      <c r="S67" s="36" t="n">
        <v>1400</v>
      </c>
      <c r="T67" s="37" t="n">
        <f aca="false">IF(R67="","",AVERAGE(R67,S67))</f>
        <v>1100</v>
      </c>
      <c r="U67" s="7" t="s">
        <v>547</v>
      </c>
      <c r="V67" s="38" t="s">
        <v>199</v>
      </c>
      <c r="W67" s="38" t="n">
        <v>3.5</v>
      </c>
      <c r="X67" s="38" t="n">
        <v>1.7</v>
      </c>
      <c r="Y67" s="35" t="n">
        <f aca="false">ROUND(0.6*W67+0.4*X67,1)</f>
        <v>2.8</v>
      </c>
      <c r="Z67" s="38" t="s">
        <v>182</v>
      </c>
      <c r="AA67" s="38" t="n">
        <v>0.5</v>
      </c>
      <c r="AB67" s="39" t="n">
        <f aca="false">1-AA67*(1-INDEX('Perfil e pressupostos'!$C$14:$C$20,MATCH(Z67,'Perfil e pressupostos'!$A$14:$A$20,0)))</f>
        <v>0.975</v>
      </c>
      <c r="AC67" s="38" t="n">
        <v>0.3</v>
      </c>
      <c r="AD67" s="38" t="n">
        <v>0.5</v>
      </c>
      <c r="AE67" s="38" t="n">
        <v>0.7</v>
      </c>
      <c r="AF67" s="40" t="n">
        <f aca="false">100*('Perfil e pressupostos'!$F$14*AB67+'Perfil e pressupostos'!$F$15*AC67+'Perfil e pressupostos'!$F$16*AD67+'Perfil e pressupostos'!$F$17*AE67)/'Perfil e pressupostos'!$F$18</f>
        <v>61.25</v>
      </c>
      <c r="AG67" s="41" t="n">
        <f aca="false">INDEX('Perfil e pressupostos'!$B$25:$B$28,MATCH(V67,'Perfil e pressupostos'!$A$25:$A$28,0))</f>
        <v>0.03</v>
      </c>
      <c r="AH67" s="41" t="n">
        <f aca="false">MIN('Perfil e pressupostos'!$F$29,AG67*('Perfil e pressupostos'!$F$25+'Perfil e pressupostos'!$F$26*AF67/100)*IF(AD67&lt;='Perfil e pressupostos'!$F$28,'Perfil e pressupostos'!$F$27,1))</f>
        <v>0.03405</v>
      </c>
      <c r="AI67" s="35" t="str">
        <f aca="false">IF(AQ67=0,"—",IF(AH67&gt;='Perfil e pressupostos'!$F$30,"Boa",IF(AH67&gt;='Perfil e pressupostos'!$F$31,"Média","Baixa")))</f>
        <v>Média</v>
      </c>
      <c r="AJ67" s="7" t="s">
        <v>636</v>
      </c>
      <c r="AK67" s="7" t="s">
        <v>215</v>
      </c>
      <c r="AL67" s="35" t="str">
        <f aca="false">IF(AK67="Prazo expirado","Prazo passado",IF(LEFT(AK67,11)="Monitorizar","Monitorizar",IF(Y67&gt;=3.5,"Prioridade",IF(Y67&gt;=3,"Candidatar (reach)","Reserva"))))</f>
        <v>Reserva</v>
      </c>
      <c r="AM67" s="7" t="s">
        <v>637</v>
      </c>
      <c r="AN67" s="42" t="s">
        <v>638</v>
      </c>
      <c r="AO67" s="7" t="s">
        <v>187</v>
      </c>
      <c r="AP67" s="7" t="s">
        <v>218</v>
      </c>
      <c r="AQ67" s="7" t="n">
        <f aca="false">IF(OR(AK67="Prazo expirado",LEFT(AK67,11)="Monitorizar"),0,1)</f>
        <v>1</v>
      </c>
      <c r="AR67" s="41" t="n">
        <f aca="false">IF(AQ67=0,0,AH67)</f>
        <v>0.03405</v>
      </c>
      <c r="AS67" s="41" t="n">
        <f aca="false">AR67*W67/5</f>
        <v>0.023835</v>
      </c>
      <c r="AT67" s="43" t="n">
        <f aca="false">AS67+W67/1000000+(1000-ROW())/1000000000</f>
        <v>0.023839433</v>
      </c>
      <c r="AU67" s="35" t="n">
        <f aca="false">RANK(AT67,$AT$4:$AT$227)</f>
        <v>64</v>
      </c>
      <c r="AV67" s="40" t="n">
        <f aca="false">IF(AQ67=0,"",AF67)</f>
        <v>61.25</v>
      </c>
      <c r="AW67" s="41" t="n">
        <f aca="false">IF(AQ67=0,"",AH67)</f>
        <v>0.03405</v>
      </c>
    </row>
    <row r="68" customFormat="false" ht="45" hidden="false" customHeight="true" outlineLevel="0" collapsed="false">
      <c r="A68" s="35" t="n">
        <v>65</v>
      </c>
      <c r="B68" s="7" t="s">
        <v>189</v>
      </c>
      <c r="C68" s="7" t="s">
        <v>639</v>
      </c>
      <c r="D68" s="7" t="s">
        <v>563</v>
      </c>
      <c r="E68" s="7" t="s">
        <v>170</v>
      </c>
      <c r="F68" s="35" t="s">
        <v>91</v>
      </c>
      <c r="G68" s="7" t="s">
        <v>91</v>
      </c>
      <c r="H68" s="7" t="s">
        <v>172</v>
      </c>
      <c r="I68" s="7" t="s">
        <v>220</v>
      </c>
      <c r="J68" s="35" t="s">
        <v>207</v>
      </c>
      <c r="K68" s="7" t="s">
        <v>564</v>
      </c>
      <c r="L68" s="7" t="s">
        <v>565</v>
      </c>
      <c r="M68" s="7" t="s">
        <v>546</v>
      </c>
      <c r="N68" s="7" t="s">
        <v>215</v>
      </c>
      <c r="O68" s="7" t="s">
        <v>179</v>
      </c>
      <c r="P68" s="35" t="str">
        <f aca="true">IF(ISNUMBER(O68),O68-TODAY(),"")</f>
        <v/>
      </c>
      <c r="Q68" s="7" t="s">
        <v>179</v>
      </c>
      <c r="R68" s="36" t="n">
        <v>1800</v>
      </c>
      <c r="S68" s="36" t="n">
        <v>2500</v>
      </c>
      <c r="T68" s="37" t="n">
        <f aca="false">IF(R68="","",AVERAGE(R68,S68))</f>
        <v>2150</v>
      </c>
      <c r="U68" s="7" t="s">
        <v>547</v>
      </c>
      <c r="V68" s="38" t="s">
        <v>318</v>
      </c>
      <c r="W68" s="38" t="n">
        <v>3</v>
      </c>
      <c r="X68" s="38" t="n">
        <v>1.5</v>
      </c>
      <c r="Y68" s="35" t="n">
        <f aca="false">ROUND(0.6*W68+0.4*X68,1)</f>
        <v>2.4</v>
      </c>
      <c r="Z68" s="38" t="s">
        <v>213</v>
      </c>
      <c r="AA68" s="38" t="n">
        <v>0.5</v>
      </c>
      <c r="AB68" s="39" t="n">
        <f aca="false">1-AA68*(1-INDEX('Perfil e pressupostos'!$C$14:$C$20,MATCH(Z68,'Perfil e pressupostos'!$A$14:$A$20,0)))</f>
        <v>0.525</v>
      </c>
      <c r="AC68" s="38" t="n">
        <v>0.5</v>
      </c>
      <c r="AD68" s="38" t="n">
        <v>0.4</v>
      </c>
      <c r="AE68" s="38" t="n">
        <v>0.7</v>
      </c>
      <c r="AF68" s="40" t="n">
        <f aca="false">100*('Perfil e pressupostos'!$F$14*AB68+'Perfil e pressupostos'!$F$15*AC68+'Perfil e pressupostos'!$F$16*AD68+'Perfil e pressupostos'!$F$17*AE68)/'Perfil e pressupostos'!$F$18</f>
        <v>51.25</v>
      </c>
      <c r="AG68" s="41" t="n">
        <f aca="false">INDEX('Perfil e pressupostos'!$B$25:$B$28,MATCH(V68,'Perfil e pressupostos'!$A$25:$A$28,0))</f>
        <v>0.08</v>
      </c>
      <c r="AH68" s="41" t="n">
        <f aca="false">MIN('Perfil e pressupostos'!$F$29,AG68*('Perfil e pressupostos'!$F$25+'Perfil e pressupostos'!$F$26*AF68/100)*IF(AD68&lt;='Perfil e pressupostos'!$F$28,'Perfil e pressupostos'!$F$27,1))</f>
        <v>0.0812</v>
      </c>
      <c r="AI68" s="35" t="str">
        <f aca="false">IF(AQ68=0,"—",IF(AH68&gt;='Perfil e pressupostos'!$F$30,"Boa",IF(AH68&gt;='Perfil e pressupostos'!$F$31,"Média","Baixa")))</f>
        <v>Boa</v>
      </c>
      <c r="AJ68" s="7" t="s">
        <v>453</v>
      </c>
      <c r="AK68" s="7" t="s">
        <v>215</v>
      </c>
      <c r="AL68" s="35" t="str">
        <f aca="false">IF(AK68="Prazo expirado","Prazo passado",IF(LEFT(AK68,11)="Monitorizar","Monitorizar",IF(Y68&gt;=3.5,"Prioridade",IF(Y68&gt;=3,"Candidatar (reach)","Reserva"))))</f>
        <v>Reserva</v>
      </c>
      <c r="AM68" s="7" t="s">
        <v>548</v>
      </c>
      <c r="AN68" s="42" t="s">
        <v>640</v>
      </c>
      <c r="AO68" s="7" t="s">
        <v>187</v>
      </c>
      <c r="AP68" s="7" t="s">
        <v>218</v>
      </c>
      <c r="AQ68" s="7" t="n">
        <f aca="false">IF(OR(AK68="Prazo expirado",LEFT(AK68,11)="Monitorizar"),0,1)</f>
        <v>1</v>
      </c>
      <c r="AR68" s="41" t="n">
        <f aca="false">IF(AQ68=0,0,AH68)</f>
        <v>0.0812</v>
      </c>
      <c r="AS68" s="41" t="n">
        <f aca="false">AR68*W68/5</f>
        <v>0.04872</v>
      </c>
      <c r="AT68" s="43" t="n">
        <f aca="false">AS68+W68/1000000+(1000-ROW())/1000000000</f>
        <v>0.048723932</v>
      </c>
      <c r="AU68" s="35" t="n">
        <f aca="false">RANK(AT68,$AT$4:$AT$227)</f>
        <v>40</v>
      </c>
      <c r="AV68" s="40" t="n">
        <f aca="false">IF(AQ68=0,"",AF68)</f>
        <v>51.25</v>
      </c>
      <c r="AW68" s="41" t="n">
        <f aca="false">IF(AQ68=0,"",AH68)</f>
        <v>0.0812</v>
      </c>
    </row>
    <row r="69" customFormat="false" ht="45" hidden="false" customHeight="true" outlineLevel="0" collapsed="false">
      <c r="A69" s="35" t="n">
        <v>66</v>
      </c>
      <c r="B69" s="7" t="s">
        <v>189</v>
      </c>
      <c r="C69" s="7" t="s">
        <v>641</v>
      </c>
      <c r="D69" s="7" t="s">
        <v>642</v>
      </c>
      <c r="E69" s="7" t="s">
        <v>170</v>
      </c>
      <c r="F69" s="35" t="s">
        <v>91</v>
      </c>
      <c r="G69" s="7" t="s">
        <v>91</v>
      </c>
      <c r="H69" s="7" t="s">
        <v>172</v>
      </c>
      <c r="I69" s="7" t="s">
        <v>173</v>
      </c>
      <c r="J69" s="35" t="s">
        <v>174</v>
      </c>
      <c r="K69" s="7" t="s">
        <v>643</v>
      </c>
      <c r="L69" s="7" t="s">
        <v>644</v>
      </c>
      <c r="M69" s="7" t="s">
        <v>546</v>
      </c>
      <c r="N69" s="7" t="s">
        <v>215</v>
      </c>
      <c r="O69" s="7" t="s">
        <v>179</v>
      </c>
      <c r="P69" s="35" t="str">
        <f aca="true">IF(ISNUMBER(O69),O69-TODAY(),"")</f>
        <v/>
      </c>
      <c r="Q69" s="7" t="s">
        <v>179</v>
      </c>
      <c r="R69" s="36" t="n">
        <v>1800</v>
      </c>
      <c r="S69" s="36" t="n">
        <v>2500</v>
      </c>
      <c r="T69" s="37" t="n">
        <f aca="false">IF(R69="","",AVERAGE(R69,S69))</f>
        <v>2150</v>
      </c>
      <c r="U69" s="7" t="s">
        <v>547</v>
      </c>
      <c r="V69" s="38" t="s">
        <v>318</v>
      </c>
      <c r="W69" s="38" t="n">
        <v>2</v>
      </c>
      <c r="X69" s="38" t="n">
        <v>1.4</v>
      </c>
      <c r="Y69" s="35" t="n">
        <f aca="false">ROUND(0.6*W69+0.4*X69,1)</f>
        <v>1.8</v>
      </c>
      <c r="Z69" s="38" t="s">
        <v>213</v>
      </c>
      <c r="AA69" s="38" t="n">
        <v>0.7</v>
      </c>
      <c r="AB69" s="39" t="n">
        <f aca="false">1-AA69*(1-INDEX('Perfil e pressupostos'!$C$14:$C$20,MATCH(Z69,'Perfil e pressupostos'!$A$14:$A$20,0)))</f>
        <v>0.335</v>
      </c>
      <c r="AC69" s="38" t="n">
        <v>0.5</v>
      </c>
      <c r="AD69" s="38" t="n">
        <v>0.4</v>
      </c>
      <c r="AE69" s="38" t="n">
        <v>0.7</v>
      </c>
      <c r="AF69" s="40" t="n">
        <f aca="false">100*('Perfil e pressupostos'!$F$14*AB69+'Perfil e pressupostos'!$F$15*AC69+'Perfil e pressupostos'!$F$16*AD69+'Perfil e pressupostos'!$F$17*AE69)/'Perfil e pressupostos'!$F$18</f>
        <v>45.55</v>
      </c>
      <c r="AG69" s="41" t="n">
        <f aca="false">INDEX('Perfil e pressupostos'!$B$25:$B$28,MATCH(V69,'Perfil e pressupostos'!$A$25:$A$28,0))</f>
        <v>0.08</v>
      </c>
      <c r="AH69" s="41" t="n">
        <f aca="false">MIN('Perfil e pressupostos'!$F$29,AG69*('Perfil e pressupostos'!$F$25+'Perfil e pressupostos'!$F$26*AF69/100)*IF(AD69&lt;='Perfil e pressupostos'!$F$28,'Perfil e pressupostos'!$F$27,1))</f>
        <v>0.075728</v>
      </c>
      <c r="AI69" s="35" t="str">
        <f aca="false">IF(AQ69=0,"—",IF(AH69&gt;='Perfil e pressupostos'!$F$30,"Boa",IF(AH69&gt;='Perfil e pressupostos'!$F$31,"Média","Baixa")))</f>
        <v>Média</v>
      </c>
      <c r="AJ69" s="7" t="s">
        <v>645</v>
      </c>
      <c r="AK69" s="7" t="s">
        <v>215</v>
      </c>
      <c r="AL69" s="35" t="str">
        <f aca="false">IF(AK69="Prazo expirado","Prazo passado",IF(LEFT(AK69,11)="Monitorizar","Monitorizar",IF(Y69&gt;=3.5,"Prioridade",IF(Y69&gt;=3,"Candidatar (reach)","Reserva"))))</f>
        <v>Reserva</v>
      </c>
      <c r="AM69" s="7" t="s">
        <v>646</v>
      </c>
      <c r="AN69" s="42" t="s">
        <v>647</v>
      </c>
      <c r="AO69" s="7" t="s">
        <v>361</v>
      </c>
      <c r="AP69" s="7" t="s">
        <v>218</v>
      </c>
      <c r="AQ69" s="7" t="n">
        <f aca="false">IF(OR(AK69="Prazo expirado",LEFT(AK69,11)="Monitorizar"),0,1)</f>
        <v>1</v>
      </c>
      <c r="AR69" s="41" t="n">
        <f aca="false">IF(AQ69=0,0,AH69)</f>
        <v>0.075728</v>
      </c>
      <c r="AS69" s="41" t="n">
        <f aca="false">AR69*W69/5</f>
        <v>0.0302912</v>
      </c>
      <c r="AT69" s="43" t="n">
        <f aca="false">AS69+W69/1000000+(1000-ROW())/1000000000</f>
        <v>0.030294131</v>
      </c>
      <c r="AU69" s="35" t="n">
        <f aca="false">RANK(AT69,$AT$4:$AT$227)</f>
        <v>48</v>
      </c>
      <c r="AV69" s="40" t="n">
        <f aca="false">IF(AQ69=0,"",AF69)</f>
        <v>45.55</v>
      </c>
      <c r="AW69" s="41" t="n">
        <f aca="false">IF(AQ69=0,"",AH69)</f>
        <v>0.075728</v>
      </c>
    </row>
    <row r="70" customFormat="false" ht="45" hidden="false" customHeight="true" outlineLevel="0" collapsed="false">
      <c r="A70" s="35" t="n">
        <v>67</v>
      </c>
      <c r="B70" s="7" t="s">
        <v>189</v>
      </c>
      <c r="C70" s="7" t="s">
        <v>648</v>
      </c>
      <c r="D70" s="7" t="s">
        <v>642</v>
      </c>
      <c r="E70" s="7" t="s">
        <v>170</v>
      </c>
      <c r="F70" s="35" t="s">
        <v>91</v>
      </c>
      <c r="G70" s="7" t="s">
        <v>91</v>
      </c>
      <c r="H70" s="7" t="s">
        <v>172</v>
      </c>
      <c r="I70" s="7" t="s">
        <v>173</v>
      </c>
      <c r="J70" s="35" t="s">
        <v>174</v>
      </c>
      <c r="K70" s="7" t="s">
        <v>643</v>
      </c>
      <c r="L70" s="7" t="s">
        <v>644</v>
      </c>
      <c r="M70" s="7" t="s">
        <v>546</v>
      </c>
      <c r="N70" s="7" t="s">
        <v>215</v>
      </c>
      <c r="O70" s="7" t="s">
        <v>179</v>
      </c>
      <c r="P70" s="35" t="str">
        <f aca="true">IF(ISNUMBER(O70),O70-TODAY(),"")</f>
        <v/>
      </c>
      <c r="Q70" s="7" t="s">
        <v>179</v>
      </c>
      <c r="R70" s="36" t="n">
        <v>1800</v>
      </c>
      <c r="S70" s="36" t="n">
        <v>2500</v>
      </c>
      <c r="T70" s="37" t="n">
        <f aca="false">IF(R70="","",AVERAGE(R70,S70))</f>
        <v>2150</v>
      </c>
      <c r="U70" s="7" t="s">
        <v>547</v>
      </c>
      <c r="V70" s="38" t="s">
        <v>318</v>
      </c>
      <c r="W70" s="38" t="n">
        <v>2</v>
      </c>
      <c r="X70" s="38" t="n">
        <v>1.4</v>
      </c>
      <c r="Y70" s="35" t="n">
        <f aca="false">ROUND(0.6*W70+0.4*X70,1)</f>
        <v>1.8</v>
      </c>
      <c r="Z70" s="38" t="s">
        <v>213</v>
      </c>
      <c r="AA70" s="38" t="n">
        <v>0.7</v>
      </c>
      <c r="AB70" s="39" t="n">
        <f aca="false">1-AA70*(1-INDEX('Perfil e pressupostos'!$C$14:$C$20,MATCH(Z70,'Perfil e pressupostos'!$A$14:$A$20,0)))</f>
        <v>0.335</v>
      </c>
      <c r="AC70" s="38" t="n">
        <v>0.5</v>
      </c>
      <c r="AD70" s="38" t="n">
        <v>0.4</v>
      </c>
      <c r="AE70" s="38" t="n">
        <v>0.7</v>
      </c>
      <c r="AF70" s="40" t="n">
        <f aca="false">100*('Perfil e pressupostos'!$F$14*AB70+'Perfil e pressupostos'!$F$15*AC70+'Perfil e pressupostos'!$F$16*AD70+'Perfil e pressupostos'!$F$17*AE70)/'Perfil e pressupostos'!$F$18</f>
        <v>45.55</v>
      </c>
      <c r="AG70" s="41" t="n">
        <f aca="false">INDEX('Perfil e pressupostos'!$B$25:$B$28,MATCH(V70,'Perfil e pressupostos'!$A$25:$A$28,0))</f>
        <v>0.08</v>
      </c>
      <c r="AH70" s="41" t="n">
        <f aca="false">MIN('Perfil e pressupostos'!$F$29,AG70*('Perfil e pressupostos'!$F$25+'Perfil e pressupostos'!$F$26*AF70/100)*IF(AD70&lt;='Perfil e pressupostos'!$F$28,'Perfil e pressupostos'!$F$27,1))</f>
        <v>0.075728</v>
      </c>
      <c r="AI70" s="35" t="str">
        <f aca="false">IF(AQ70=0,"—",IF(AH70&gt;='Perfil e pressupostos'!$F$30,"Boa",IF(AH70&gt;='Perfil e pressupostos'!$F$31,"Média","Baixa")))</f>
        <v>Média</v>
      </c>
      <c r="AJ70" s="7" t="s">
        <v>645</v>
      </c>
      <c r="AK70" s="7" t="s">
        <v>215</v>
      </c>
      <c r="AL70" s="35" t="str">
        <f aca="false">IF(AK70="Prazo expirado","Prazo passado",IF(LEFT(AK70,11)="Monitorizar","Monitorizar",IF(Y70&gt;=3.5,"Prioridade",IF(Y70&gt;=3,"Candidatar (reach)","Reserva"))))</f>
        <v>Reserva</v>
      </c>
      <c r="AM70" s="7" t="s">
        <v>548</v>
      </c>
      <c r="AN70" s="42" t="s">
        <v>649</v>
      </c>
      <c r="AO70" s="7" t="s">
        <v>187</v>
      </c>
      <c r="AP70" s="7" t="s">
        <v>218</v>
      </c>
      <c r="AQ70" s="7" t="n">
        <f aca="false">IF(OR(AK70="Prazo expirado",LEFT(AK70,11)="Monitorizar"),0,1)</f>
        <v>1</v>
      </c>
      <c r="AR70" s="41" t="n">
        <f aca="false">IF(AQ70=0,0,AH70)</f>
        <v>0.075728</v>
      </c>
      <c r="AS70" s="41" t="n">
        <f aca="false">AR70*W70/5</f>
        <v>0.0302912</v>
      </c>
      <c r="AT70" s="43" t="n">
        <f aca="false">AS70+W70/1000000+(1000-ROW())/1000000000</f>
        <v>0.03029413</v>
      </c>
      <c r="AU70" s="35" t="n">
        <f aca="false">RANK(AT70,$AT$4:$AT$227)</f>
        <v>49</v>
      </c>
      <c r="AV70" s="40" t="n">
        <f aca="false">IF(AQ70=0,"",AF70)</f>
        <v>45.55</v>
      </c>
      <c r="AW70" s="41" t="n">
        <f aca="false">IF(AQ70=0,"",AH70)</f>
        <v>0.075728</v>
      </c>
    </row>
    <row r="71" customFormat="false" ht="33.75" hidden="false" customHeight="true" outlineLevel="0" collapsed="false">
      <c r="A71" s="35" t="n">
        <v>68</v>
      </c>
      <c r="B71" s="7" t="s">
        <v>650</v>
      </c>
      <c r="C71" s="7" t="s">
        <v>651</v>
      </c>
      <c r="D71" s="7" t="s">
        <v>169</v>
      </c>
      <c r="E71" s="7" t="s">
        <v>230</v>
      </c>
      <c r="F71" s="35" t="s">
        <v>81</v>
      </c>
      <c r="G71" s="7" t="s">
        <v>171</v>
      </c>
      <c r="H71" s="7" t="s">
        <v>172</v>
      </c>
      <c r="I71" s="7" t="s">
        <v>173</v>
      </c>
      <c r="J71" s="35" t="s">
        <v>174</v>
      </c>
      <c r="K71" s="7" t="s">
        <v>652</v>
      </c>
      <c r="L71" s="7" t="s">
        <v>653</v>
      </c>
      <c r="M71" s="7" t="s">
        <v>654</v>
      </c>
      <c r="N71" s="7" t="s">
        <v>655</v>
      </c>
      <c r="O71" s="7" t="s">
        <v>179</v>
      </c>
      <c r="P71" s="35" t="str">
        <f aca="true">IF(ISNUMBER(O71),O71-TODAY(),"")</f>
        <v/>
      </c>
      <c r="Q71" s="7" t="s">
        <v>179</v>
      </c>
      <c r="R71" s="36" t="n">
        <v>2800</v>
      </c>
      <c r="S71" s="36" t="n">
        <v>4000</v>
      </c>
      <c r="T71" s="37" t="n">
        <f aca="false">IF(R71="","",AVERAGE(R71,S71))</f>
        <v>3400</v>
      </c>
      <c r="U71" s="7" t="s">
        <v>547</v>
      </c>
      <c r="V71" s="38" t="s">
        <v>181</v>
      </c>
      <c r="W71" s="38" t="n">
        <v>5</v>
      </c>
      <c r="X71" s="38" t="n">
        <v>1.4</v>
      </c>
      <c r="Y71" s="35" t="n">
        <f aca="false">ROUND(0.6*W71+0.4*X71,1)</f>
        <v>3.6</v>
      </c>
      <c r="Z71" s="38" t="s">
        <v>182</v>
      </c>
      <c r="AA71" s="38" t="n">
        <v>1</v>
      </c>
      <c r="AB71" s="39" t="n">
        <f aca="false">1-AA71*(1-INDEX('Perfil e pressupostos'!$C$14:$C$20,MATCH(Z71,'Perfil e pressupostos'!$A$14:$A$20,0)))</f>
        <v>0.95</v>
      </c>
      <c r="AC71" s="38" t="n">
        <v>0.1</v>
      </c>
      <c r="AD71" s="38" t="n">
        <v>0.5</v>
      </c>
      <c r="AE71" s="38" t="n">
        <v>0.7</v>
      </c>
      <c r="AF71" s="40" t="n">
        <f aca="false">100*('Perfil e pressupostos'!$F$14*AB71+'Perfil e pressupostos'!$F$15*AC71+'Perfil e pressupostos'!$F$16*AD71+'Perfil e pressupostos'!$F$17*AE71)/'Perfil e pressupostos'!$F$18</f>
        <v>54.5</v>
      </c>
      <c r="AG71" s="41" t="n">
        <f aca="false">INDEX('Perfil e pressupostos'!$B$25:$B$28,MATCH(V71,'Perfil e pressupostos'!$A$25:$A$28,0))</f>
        <v>0.01</v>
      </c>
      <c r="AH71" s="41" t="n">
        <f aca="false">MIN('Perfil e pressupostos'!$F$29,AG71*('Perfil e pressupostos'!$F$25+'Perfil e pressupostos'!$F$26*AF71/100)*IF(AD71&lt;='Perfil e pressupostos'!$F$28,'Perfil e pressupostos'!$F$27,1))</f>
        <v>0.01054</v>
      </c>
      <c r="AI71" s="35" t="str">
        <f aca="false">IF(AQ71=0,"—",IF(AH71&gt;='Perfil e pressupostos'!$F$30,"Boa",IF(AH71&gt;='Perfil e pressupostos'!$F$31,"Média","Baixa")))</f>
        <v>Baixa</v>
      </c>
      <c r="AJ71" s="7" t="s">
        <v>656</v>
      </c>
      <c r="AK71" s="7" t="s">
        <v>184</v>
      </c>
      <c r="AL71" s="35" t="str">
        <f aca="false">IF(AK71="Prazo expirado","Prazo passado",IF(LEFT(AK71,11)="Monitorizar","Monitorizar",IF(Y71&gt;=3.5,"Prioridade",IF(Y71&gt;=3,"Candidatar (reach)","Reserva"))))</f>
        <v>Prioridade</v>
      </c>
      <c r="AM71" s="7" t="s">
        <v>657</v>
      </c>
      <c r="AN71" s="42" t="s">
        <v>658</v>
      </c>
      <c r="AO71" s="7" t="s">
        <v>187</v>
      </c>
      <c r="AP71" s="7" t="s">
        <v>188</v>
      </c>
      <c r="AQ71" s="7" t="n">
        <f aca="false">IF(OR(AK71="Prazo expirado",LEFT(AK71,11)="Monitorizar"),0,1)</f>
        <v>1</v>
      </c>
      <c r="AR71" s="41" t="n">
        <f aca="false">IF(AQ71=0,0,AH71)</f>
        <v>0.01054</v>
      </c>
      <c r="AS71" s="41" t="n">
        <f aca="false">AR71*W71/5</f>
        <v>0.01054</v>
      </c>
      <c r="AT71" s="43" t="n">
        <f aca="false">AS71+W71/1000000+(1000-ROW())/1000000000</f>
        <v>0.010545929</v>
      </c>
      <c r="AU71" s="35" t="n">
        <f aca="false">RANK(AT71,$AT$4:$AT$227)</f>
        <v>109</v>
      </c>
      <c r="AV71" s="40" t="n">
        <f aca="false">IF(AQ71=0,"",AF71)</f>
        <v>54.5</v>
      </c>
      <c r="AW71" s="41" t="n">
        <f aca="false">IF(AQ71=0,"",AH71)</f>
        <v>0.01054</v>
      </c>
    </row>
    <row r="72" customFormat="false" ht="33.75" hidden="false" customHeight="true" outlineLevel="0" collapsed="false">
      <c r="A72" s="35" t="n">
        <v>69</v>
      </c>
      <c r="B72" s="7" t="s">
        <v>650</v>
      </c>
      <c r="C72" s="7" t="s">
        <v>659</v>
      </c>
      <c r="D72" s="7" t="s">
        <v>563</v>
      </c>
      <c r="E72" s="7" t="s">
        <v>230</v>
      </c>
      <c r="F72" s="35" t="s">
        <v>85</v>
      </c>
      <c r="G72" s="7" t="s">
        <v>205</v>
      </c>
      <c r="H72" s="7" t="s">
        <v>172</v>
      </c>
      <c r="I72" s="7" t="s">
        <v>173</v>
      </c>
      <c r="J72" s="35" t="s">
        <v>174</v>
      </c>
      <c r="K72" s="7" t="s">
        <v>564</v>
      </c>
      <c r="L72" s="7" t="s">
        <v>565</v>
      </c>
      <c r="M72" s="7" t="s">
        <v>546</v>
      </c>
      <c r="N72" s="7" t="s">
        <v>215</v>
      </c>
      <c r="O72" s="7" t="s">
        <v>179</v>
      </c>
      <c r="P72" s="35" t="str">
        <f aca="true">IF(ISNUMBER(O72),O72-TODAY(),"")</f>
        <v/>
      </c>
      <c r="Q72" s="7" t="s">
        <v>179</v>
      </c>
      <c r="R72" s="36" t="n">
        <v>1500</v>
      </c>
      <c r="S72" s="36" t="n">
        <v>2500</v>
      </c>
      <c r="T72" s="37" t="n">
        <f aca="false">IF(R72="","",AVERAGE(R72,S72))</f>
        <v>2000</v>
      </c>
      <c r="U72" s="7" t="s">
        <v>547</v>
      </c>
      <c r="V72" s="38" t="s">
        <v>199</v>
      </c>
      <c r="W72" s="38" t="n">
        <v>3.5</v>
      </c>
      <c r="X72" s="38" t="n">
        <v>1.4</v>
      </c>
      <c r="Y72" s="35" t="n">
        <f aca="false">ROUND(0.6*W72+0.4*X72,1)</f>
        <v>2.7</v>
      </c>
      <c r="Z72" s="38" t="s">
        <v>213</v>
      </c>
      <c r="AA72" s="38" t="n">
        <v>0.5</v>
      </c>
      <c r="AB72" s="39" t="n">
        <f aca="false">1-AA72*(1-INDEX('Perfil e pressupostos'!$C$14:$C$20,MATCH(Z72,'Perfil e pressupostos'!$A$14:$A$20,0)))</f>
        <v>0.525</v>
      </c>
      <c r="AC72" s="38" t="n">
        <v>0.4</v>
      </c>
      <c r="AD72" s="38" t="n">
        <v>0.5</v>
      </c>
      <c r="AE72" s="38" t="n">
        <v>0.7</v>
      </c>
      <c r="AF72" s="40" t="n">
        <f aca="false">100*('Perfil e pressupostos'!$F$14*AB72+'Perfil e pressupostos'!$F$15*AC72+'Perfil e pressupostos'!$F$16*AD72+'Perfil e pressupostos'!$F$17*AE72)/'Perfil e pressupostos'!$F$18</f>
        <v>50.75</v>
      </c>
      <c r="AG72" s="41" t="n">
        <f aca="false">INDEX('Perfil e pressupostos'!$B$25:$B$28,MATCH(V72,'Perfil e pressupostos'!$A$25:$A$28,0))</f>
        <v>0.03</v>
      </c>
      <c r="AH72" s="41" t="n">
        <f aca="false">MIN('Perfil e pressupostos'!$F$29,AG72*('Perfil e pressupostos'!$F$25+'Perfil e pressupostos'!$F$26*AF72/100)*IF(AD72&lt;='Perfil e pressupostos'!$F$28,'Perfil e pressupostos'!$F$27,1))</f>
        <v>0.03027</v>
      </c>
      <c r="AI72" s="35" t="str">
        <f aca="false">IF(AQ72=0,"—",IF(AH72&gt;='Perfil e pressupostos'!$F$30,"Boa",IF(AH72&gt;='Perfil e pressupostos'!$F$31,"Média","Baixa")))</f>
        <v>Média</v>
      </c>
      <c r="AJ72" s="7" t="s">
        <v>453</v>
      </c>
      <c r="AK72" s="7" t="s">
        <v>215</v>
      </c>
      <c r="AL72" s="35" t="str">
        <f aca="false">IF(AK72="Prazo expirado","Prazo passado",IF(LEFT(AK72,11)="Monitorizar","Monitorizar",IF(Y72&gt;=3.5,"Prioridade",IF(Y72&gt;=3,"Candidatar (reach)","Reserva"))))</f>
        <v>Reserva</v>
      </c>
      <c r="AM72" s="7" t="s">
        <v>548</v>
      </c>
      <c r="AN72" s="42" t="s">
        <v>660</v>
      </c>
      <c r="AO72" s="7" t="s">
        <v>187</v>
      </c>
      <c r="AP72" s="7" t="s">
        <v>218</v>
      </c>
      <c r="AQ72" s="7" t="n">
        <f aca="false">IF(OR(AK72="Prazo expirado",LEFT(AK72,11)="Monitorizar"),0,1)</f>
        <v>1</v>
      </c>
      <c r="AR72" s="41" t="n">
        <f aca="false">IF(AQ72=0,0,AH72)</f>
        <v>0.03027</v>
      </c>
      <c r="AS72" s="41" t="n">
        <f aca="false">AR72*W72/5</f>
        <v>0.021189</v>
      </c>
      <c r="AT72" s="43" t="n">
        <f aca="false">AS72+W72/1000000+(1000-ROW())/1000000000</f>
        <v>0.021193428</v>
      </c>
      <c r="AU72" s="35" t="n">
        <f aca="false">RANK(AT72,$AT$4:$AT$227)</f>
        <v>76</v>
      </c>
      <c r="AV72" s="40" t="n">
        <f aca="false">IF(AQ72=0,"",AF72)</f>
        <v>50.75</v>
      </c>
      <c r="AW72" s="41" t="n">
        <f aca="false">IF(AQ72=0,"",AH72)</f>
        <v>0.03027</v>
      </c>
    </row>
    <row r="73" customFormat="false" ht="45" hidden="false" customHeight="true" outlineLevel="0" collapsed="false">
      <c r="A73" s="35" t="n">
        <v>70</v>
      </c>
      <c r="B73" s="7" t="s">
        <v>661</v>
      </c>
      <c r="C73" s="7" t="s">
        <v>662</v>
      </c>
      <c r="D73" s="7" t="s">
        <v>169</v>
      </c>
      <c r="E73" s="7" t="s">
        <v>310</v>
      </c>
      <c r="F73" s="35" t="s">
        <v>99</v>
      </c>
      <c r="G73" s="7" t="s">
        <v>663</v>
      </c>
      <c r="H73" s="7" t="s">
        <v>172</v>
      </c>
      <c r="I73" s="7" t="s">
        <v>173</v>
      </c>
      <c r="J73" s="35" t="s">
        <v>207</v>
      </c>
      <c r="K73" s="7" t="s">
        <v>544</v>
      </c>
      <c r="L73" s="7" t="s">
        <v>545</v>
      </c>
      <c r="M73" s="7" t="s">
        <v>576</v>
      </c>
      <c r="N73" s="7" t="s">
        <v>215</v>
      </c>
      <c r="O73" s="7" t="s">
        <v>179</v>
      </c>
      <c r="P73" s="35" t="str">
        <f aca="true">IF(ISNUMBER(O73),O73-TODAY(),"")</f>
        <v/>
      </c>
      <c r="Q73" s="7" t="s">
        <v>179</v>
      </c>
      <c r="R73" s="36" t="n">
        <v>1500</v>
      </c>
      <c r="S73" s="36" t="n">
        <v>2200</v>
      </c>
      <c r="T73" s="37" t="n">
        <f aca="false">IF(R73="","",AVERAGE(R73,S73))</f>
        <v>1850</v>
      </c>
      <c r="U73" s="7" t="s">
        <v>547</v>
      </c>
      <c r="V73" s="38" t="s">
        <v>181</v>
      </c>
      <c r="W73" s="38" t="n">
        <v>5</v>
      </c>
      <c r="X73" s="38" t="n">
        <v>1.5</v>
      </c>
      <c r="Y73" s="35" t="n">
        <f aca="false">ROUND(0.6*W73+0.4*X73,1)</f>
        <v>3.6</v>
      </c>
      <c r="Z73" s="38" t="s">
        <v>182</v>
      </c>
      <c r="AA73" s="38" t="n">
        <v>1</v>
      </c>
      <c r="AB73" s="39" t="n">
        <f aca="false">1-AA73*(1-INDEX('Perfil e pressupostos'!$C$14:$C$20,MATCH(Z73,'Perfil e pressupostos'!$A$14:$A$20,0)))</f>
        <v>0.95</v>
      </c>
      <c r="AC73" s="38" t="n">
        <v>0.3</v>
      </c>
      <c r="AD73" s="38" t="n">
        <v>0.5</v>
      </c>
      <c r="AE73" s="38" t="n">
        <v>0.7</v>
      </c>
      <c r="AF73" s="40" t="n">
        <f aca="false">100*('Perfil e pressupostos'!$F$14*AB73+'Perfil e pressupostos'!$F$15*AC73+'Perfil e pressupostos'!$F$16*AD73+'Perfil e pressupostos'!$F$17*AE73)/'Perfil e pressupostos'!$F$18</f>
        <v>60.5</v>
      </c>
      <c r="AG73" s="41" t="n">
        <f aca="false">INDEX('Perfil e pressupostos'!$B$25:$B$28,MATCH(V73,'Perfil e pressupostos'!$A$25:$A$28,0))</f>
        <v>0.01</v>
      </c>
      <c r="AH73" s="41" t="n">
        <f aca="false">MIN('Perfil e pressupostos'!$F$29,AG73*('Perfil e pressupostos'!$F$25+'Perfil e pressupostos'!$F$26*AF73/100)*IF(AD73&lt;='Perfil e pressupostos'!$F$28,'Perfil e pressupostos'!$F$27,1))</f>
        <v>0.01126</v>
      </c>
      <c r="AI73" s="35" t="str">
        <f aca="false">IF(AQ73=0,"—",IF(AH73&gt;='Perfil e pressupostos'!$F$30,"Boa",IF(AH73&gt;='Perfil e pressupostos'!$F$31,"Média","Baixa")))</f>
        <v>Baixa</v>
      </c>
      <c r="AJ73" s="7" t="s">
        <v>412</v>
      </c>
      <c r="AK73" s="7" t="s">
        <v>184</v>
      </c>
      <c r="AL73" s="35" t="str">
        <f aca="false">IF(AK73="Prazo expirado","Prazo passado",IF(LEFT(AK73,11)="Monitorizar","Monitorizar",IF(Y73&gt;=3.5,"Prioridade",IF(Y73&gt;=3,"Candidatar (reach)","Reserva"))))</f>
        <v>Prioridade</v>
      </c>
      <c r="AM73" s="7" t="s">
        <v>664</v>
      </c>
      <c r="AN73" s="42" t="s">
        <v>665</v>
      </c>
      <c r="AO73" s="7" t="s">
        <v>187</v>
      </c>
      <c r="AP73" s="7" t="s">
        <v>188</v>
      </c>
      <c r="AQ73" s="7" t="n">
        <f aca="false">IF(OR(AK73="Prazo expirado",LEFT(AK73,11)="Monitorizar"),0,1)</f>
        <v>1</v>
      </c>
      <c r="AR73" s="41" t="n">
        <f aca="false">IF(AQ73=0,0,AH73)</f>
        <v>0.01126</v>
      </c>
      <c r="AS73" s="41" t="n">
        <f aca="false">AR73*W73/5</f>
        <v>0.01126</v>
      </c>
      <c r="AT73" s="43" t="n">
        <f aca="false">AS73+W73/1000000+(1000-ROW())/1000000000</f>
        <v>0.011265927</v>
      </c>
      <c r="AU73" s="35" t="n">
        <f aca="false">RANK(AT73,$AT$4:$AT$227)</f>
        <v>103</v>
      </c>
      <c r="AV73" s="40" t="n">
        <f aca="false">IF(AQ73=0,"",AF73)</f>
        <v>60.5</v>
      </c>
      <c r="AW73" s="41" t="n">
        <f aca="false">IF(AQ73=0,"",AH73)</f>
        <v>0.01126</v>
      </c>
    </row>
    <row r="74" customFormat="false" ht="33.75" hidden="false" customHeight="true" outlineLevel="0" collapsed="false">
      <c r="A74" s="35" t="n">
        <v>71</v>
      </c>
      <c r="B74" s="7" t="s">
        <v>666</v>
      </c>
      <c r="C74" s="7" t="s">
        <v>667</v>
      </c>
      <c r="D74" s="7" t="s">
        <v>668</v>
      </c>
      <c r="E74" s="7" t="s">
        <v>230</v>
      </c>
      <c r="F74" s="35" t="s">
        <v>85</v>
      </c>
      <c r="G74" s="7" t="s">
        <v>205</v>
      </c>
      <c r="H74" s="7" t="s">
        <v>172</v>
      </c>
      <c r="I74" s="7" t="s">
        <v>173</v>
      </c>
      <c r="J74" s="35" t="s">
        <v>174</v>
      </c>
      <c r="K74" s="7" t="s">
        <v>669</v>
      </c>
      <c r="L74" s="7" t="s">
        <v>670</v>
      </c>
      <c r="M74" s="7" t="s">
        <v>576</v>
      </c>
      <c r="N74" s="7" t="s">
        <v>215</v>
      </c>
      <c r="O74" s="7" t="s">
        <v>179</v>
      </c>
      <c r="P74" s="35" t="str">
        <f aca="true">IF(ISNUMBER(O74),O74-TODAY(),"")</f>
        <v/>
      </c>
      <c r="Q74" s="7" t="s">
        <v>179</v>
      </c>
      <c r="R74" s="36" t="n">
        <v>1500</v>
      </c>
      <c r="S74" s="36" t="n">
        <v>2500</v>
      </c>
      <c r="T74" s="37" t="n">
        <f aca="false">IF(R74="","",AVERAGE(R74,S74))</f>
        <v>2000</v>
      </c>
      <c r="U74" s="7" t="s">
        <v>547</v>
      </c>
      <c r="V74" s="38" t="s">
        <v>181</v>
      </c>
      <c r="W74" s="38" t="n">
        <v>2.5</v>
      </c>
      <c r="X74" s="38" t="n">
        <v>1.6</v>
      </c>
      <c r="Y74" s="35" t="n">
        <f aca="false">ROUND(0.6*W74+0.4*X74,1)</f>
        <v>2.1</v>
      </c>
      <c r="Z74" s="38" t="s">
        <v>182</v>
      </c>
      <c r="AA74" s="38" t="n">
        <v>0.6</v>
      </c>
      <c r="AB74" s="39" t="n">
        <f aca="false">1-AA74*(1-INDEX('Perfil e pressupostos'!$C$14:$C$20,MATCH(Z74,'Perfil e pressupostos'!$A$14:$A$20,0)))</f>
        <v>0.97</v>
      </c>
      <c r="AC74" s="38" t="n">
        <v>0.4</v>
      </c>
      <c r="AD74" s="38" t="n">
        <v>0.5</v>
      </c>
      <c r="AE74" s="38" t="n">
        <v>0.7</v>
      </c>
      <c r="AF74" s="40" t="n">
        <f aca="false">100*('Perfil e pressupostos'!$F$14*AB74+'Perfil e pressupostos'!$F$15*AC74+'Perfil e pressupostos'!$F$16*AD74+'Perfil e pressupostos'!$F$17*AE74)/'Perfil e pressupostos'!$F$18</f>
        <v>64.1</v>
      </c>
      <c r="AG74" s="41" t="n">
        <f aca="false">INDEX('Perfil e pressupostos'!$B$25:$B$28,MATCH(V74,'Perfil e pressupostos'!$A$25:$A$28,0))</f>
        <v>0.01</v>
      </c>
      <c r="AH74" s="41" t="n">
        <f aca="false">MIN('Perfil e pressupostos'!$F$29,AG74*('Perfil e pressupostos'!$F$25+'Perfil e pressupostos'!$F$26*AF74/100)*IF(AD74&lt;='Perfil e pressupostos'!$F$28,'Perfil e pressupostos'!$F$27,1))</f>
        <v>0.011692</v>
      </c>
      <c r="AI74" s="35" t="str">
        <f aca="false">IF(AQ74=0,"—",IF(AH74&gt;='Perfil e pressupostos'!$F$30,"Boa",IF(AH74&gt;='Perfil e pressupostos'!$F$31,"Média","Baixa")))</f>
        <v>Baixa</v>
      </c>
      <c r="AJ74" s="7" t="s">
        <v>671</v>
      </c>
      <c r="AK74" s="7" t="s">
        <v>215</v>
      </c>
      <c r="AL74" s="35" t="str">
        <f aca="false">IF(AK74="Prazo expirado","Prazo passado",IF(LEFT(AK74,11)="Monitorizar","Monitorizar",IF(Y74&gt;=3.5,"Prioridade",IF(Y74&gt;=3,"Candidatar (reach)","Reserva"))))</f>
        <v>Reserva</v>
      </c>
      <c r="AM74" s="7" t="s">
        <v>548</v>
      </c>
      <c r="AN74" s="42" t="s">
        <v>672</v>
      </c>
      <c r="AO74" s="7" t="s">
        <v>187</v>
      </c>
      <c r="AP74" s="7" t="s">
        <v>218</v>
      </c>
      <c r="AQ74" s="7" t="n">
        <f aca="false">IF(OR(AK74="Prazo expirado",LEFT(AK74,11)="Monitorizar"),0,1)</f>
        <v>1</v>
      </c>
      <c r="AR74" s="41" t="n">
        <f aca="false">IF(AQ74=0,0,AH74)</f>
        <v>0.011692</v>
      </c>
      <c r="AS74" s="41" t="n">
        <f aca="false">AR74*W74/5</f>
        <v>0.005846</v>
      </c>
      <c r="AT74" s="43" t="n">
        <f aca="false">AS74+W74/1000000+(1000-ROW())/1000000000</f>
        <v>0.005849426</v>
      </c>
      <c r="AU74" s="35" t="n">
        <f aca="false">RANK(AT74,$AT$4:$AT$227)</f>
        <v>189</v>
      </c>
      <c r="AV74" s="40" t="n">
        <f aca="false">IF(AQ74=0,"",AF74)</f>
        <v>64.1</v>
      </c>
      <c r="AW74" s="41" t="n">
        <f aca="false">IF(AQ74=0,"",AH74)</f>
        <v>0.011692</v>
      </c>
    </row>
    <row r="75" customFormat="false" ht="45" hidden="false" customHeight="true" outlineLevel="0" collapsed="false">
      <c r="A75" s="35" t="n">
        <v>72</v>
      </c>
      <c r="B75" s="7" t="s">
        <v>666</v>
      </c>
      <c r="C75" s="7" t="s">
        <v>673</v>
      </c>
      <c r="D75" s="7" t="s">
        <v>169</v>
      </c>
      <c r="E75" s="7" t="s">
        <v>230</v>
      </c>
      <c r="F75" s="35" t="s">
        <v>85</v>
      </c>
      <c r="G75" s="7" t="s">
        <v>205</v>
      </c>
      <c r="H75" s="7" t="s">
        <v>172</v>
      </c>
      <c r="I75" s="7" t="s">
        <v>220</v>
      </c>
      <c r="J75" s="35" t="s">
        <v>174</v>
      </c>
      <c r="K75" s="7" t="s">
        <v>544</v>
      </c>
      <c r="L75" s="7" t="s">
        <v>545</v>
      </c>
      <c r="M75" s="7" t="s">
        <v>576</v>
      </c>
      <c r="N75" s="7" t="s">
        <v>215</v>
      </c>
      <c r="O75" s="7" t="s">
        <v>179</v>
      </c>
      <c r="P75" s="35" t="str">
        <f aca="true">IF(ISNUMBER(O75),O75-TODAY(),"")</f>
        <v/>
      </c>
      <c r="Q75" s="7" t="s">
        <v>179</v>
      </c>
      <c r="R75" s="36" t="n">
        <v>1500</v>
      </c>
      <c r="S75" s="36" t="n">
        <v>2500</v>
      </c>
      <c r="T75" s="37" t="n">
        <f aca="false">IF(R75="","",AVERAGE(R75,S75))</f>
        <v>2000</v>
      </c>
      <c r="U75" s="7" t="s">
        <v>547</v>
      </c>
      <c r="V75" s="38" t="s">
        <v>181</v>
      </c>
      <c r="W75" s="38" t="n">
        <v>5</v>
      </c>
      <c r="X75" s="38" t="n">
        <v>1.5</v>
      </c>
      <c r="Y75" s="35" t="n">
        <f aca="false">ROUND(0.6*W75+0.4*X75,1)</f>
        <v>3.6</v>
      </c>
      <c r="Z75" s="38" t="s">
        <v>182</v>
      </c>
      <c r="AA75" s="38" t="n">
        <v>0.7</v>
      </c>
      <c r="AB75" s="39" t="n">
        <f aca="false">1-AA75*(1-INDEX('Perfil e pressupostos'!$C$14:$C$20,MATCH(Z75,'Perfil e pressupostos'!$A$14:$A$20,0)))</f>
        <v>0.965</v>
      </c>
      <c r="AC75" s="38" t="n">
        <v>0.2</v>
      </c>
      <c r="AD75" s="38" t="n">
        <v>0.5</v>
      </c>
      <c r="AE75" s="38" t="n">
        <v>0.7</v>
      </c>
      <c r="AF75" s="40" t="n">
        <f aca="false">100*('Perfil e pressupostos'!$F$14*AB75+'Perfil e pressupostos'!$F$15*AC75+'Perfil e pressupostos'!$F$16*AD75+'Perfil e pressupostos'!$F$17*AE75)/'Perfil e pressupostos'!$F$18</f>
        <v>57.95</v>
      </c>
      <c r="AG75" s="41" t="n">
        <f aca="false">INDEX('Perfil e pressupostos'!$B$25:$B$28,MATCH(V75,'Perfil e pressupostos'!$A$25:$A$28,0))</f>
        <v>0.01</v>
      </c>
      <c r="AH75" s="41" t="n">
        <f aca="false">MIN('Perfil e pressupostos'!$F$29,AG75*('Perfil e pressupostos'!$F$25+'Perfil e pressupostos'!$F$26*AF75/100)*IF(AD75&lt;='Perfil e pressupostos'!$F$28,'Perfil e pressupostos'!$F$27,1))</f>
        <v>0.010954</v>
      </c>
      <c r="AI75" s="35" t="str">
        <f aca="false">IF(AQ75=0,"—",IF(AH75&gt;='Perfil e pressupostos'!$F$30,"Boa",IF(AH75&gt;='Perfil e pressupostos'!$F$31,"Média","Baixa")))</f>
        <v>Baixa</v>
      </c>
      <c r="AJ75" s="7" t="s">
        <v>674</v>
      </c>
      <c r="AK75" s="7" t="s">
        <v>215</v>
      </c>
      <c r="AL75" s="35" t="str">
        <f aca="false">IF(AK75="Prazo expirado","Prazo passado",IF(LEFT(AK75,11)="Monitorizar","Monitorizar",IF(Y75&gt;=3.5,"Prioridade",IF(Y75&gt;=3,"Candidatar (reach)","Reserva"))))</f>
        <v>Prioridade</v>
      </c>
      <c r="AM75" s="7" t="s">
        <v>548</v>
      </c>
      <c r="AN75" s="42" t="s">
        <v>675</v>
      </c>
      <c r="AO75" s="7" t="s">
        <v>187</v>
      </c>
      <c r="AP75" s="7" t="s">
        <v>218</v>
      </c>
      <c r="AQ75" s="7" t="n">
        <f aca="false">IF(OR(AK75="Prazo expirado",LEFT(AK75,11)="Monitorizar"),0,1)</f>
        <v>1</v>
      </c>
      <c r="AR75" s="41" t="n">
        <f aca="false">IF(AQ75=0,0,AH75)</f>
        <v>0.010954</v>
      </c>
      <c r="AS75" s="41" t="n">
        <f aca="false">AR75*W75/5</f>
        <v>0.010954</v>
      </c>
      <c r="AT75" s="43" t="n">
        <f aca="false">AS75+W75/1000000+(1000-ROW())/1000000000</f>
        <v>0.010959925</v>
      </c>
      <c r="AU75" s="35" t="n">
        <f aca="false">RANK(AT75,$AT$4:$AT$227)</f>
        <v>105</v>
      </c>
      <c r="AV75" s="40" t="n">
        <f aca="false">IF(AQ75=0,"",AF75)</f>
        <v>57.95</v>
      </c>
      <c r="AW75" s="41" t="n">
        <f aca="false">IF(AQ75=0,"",AH75)</f>
        <v>0.010954</v>
      </c>
    </row>
    <row r="76" customFormat="false" ht="33.75" hidden="false" customHeight="true" outlineLevel="0" collapsed="false">
      <c r="A76" s="35" t="n">
        <v>73</v>
      </c>
      <c r="B76" s="7" t="s">
        <v>666</v>
      </c>
      <c r="C76" s="7" t="s">
        <v>676</v>
      </c>
      <c r="D76" s="7" t="s">
        <v>169</v>
      </c>
      <c r="E76" s="7" t="s">
        <v>230</v>
      </c>
      <c r="F76" s="35" t="s">
        <v>81</v>
      </c>
      <c r="G76" s="7" t="s">
        <v>171</v>
      </c>
      <c r="H76" s="7" t="s">
        <v>172</v>
      </c>
      <c r="I76" s="7" t="s">
        <v>677</v>
      </c>
      <c r="J76" s="35" t="s">
        <v>174</v>
      </c>
      <c r="K76" s="7" t="s">
        <v>678</v>
      </c>
      <c r="L76" s="7" t="s">
        <v>679</v>
      </c>
      <c r="M76" s="7" t="s">
        <v>177</v>
      </c>
      <c r="N76" s="7" t="s">
        <v>197</v>
      </c>
      <c r="O76" s="7" t="s">
        <v>179</v>
      </c>
      <c r="P76" s="35" t="str">
        <f aca="true">IF(ISNUMBER(O76),O76-TODAY(),"")</f>
        <v/>
      </c>
      <c r="Q76" s="7" t="s">
        <v>179</v>
      </c>
      <c r="R76" s="36" t="n">
        <v>2800</v>
      </c>
      <c r="S76" s="36" t="n">
        <v>4000</v>
      </c>
      <c r="T76" s="37" t="n">
        <f aca="false">IF(R76="","",AVERAGE(R76,S76))</f>
        <v>3400</v>
      </c>
      <c r="U76" s="7" t="s">
        <v>547</v>
      </c>
      <c r="V76" s="38" t="s">
        <v>181</v>
      </c>
      <c r="W76" s="38" t="n">
        <v>5</v>
      </c>
      <c r="X76" s="38" t="n">
        <v>1.4</v>
      </c>
      <c r="Y76" s="35" t="n">
        <f aca="false">ROUND(0.6*W76+0.4*X76,1)</f>
        <v>3.6</v>
      </c>
      <c r="Z76" s="38" t="s">
        <v>182</v>
      </c>
      <c r="AA76" s="38" t="n">
        <v>1</v>
      </c>
      <c r="AB76" s="39" t="n">
        <f aca="false">1-AA76*(1-INDEX('Perfil e pressupostos'!$C$14:$C$20,MATCH(Z76,'Perfil e pressupostos'!$A$14:$A$20,0)))</f>
        <v>0.95</v>
      </c>
      <c r="AC76" s="38" t="n">
        <v>0.1</v>
      </c>
      <c r="AD76" s="38" t="n">
        <v>0.5</v>
      </c>
      <c r="AE76" s="38" t="n">
        <v>0.7</v>
      </c>
      <c r="AF76" s="40" t="n">
        <f aca="false">100*('Perfil e pressupostos'!$F$14*AB76+'Perfil e pressupostos'!$F$15*AC76+'Perfil e pressupostos'!$F$16*AD76+'Perfil e pressupostos'!$F$17*AE76)/'Perfil e pressupostos'!$F$18</f>
        <v>54.5</v>
      </c>
      <c r="AG76" s="41" t="n">
        <f aca="false">INDEX('Perfil e pressupostos'!$B$25:$B$28,MATCH(V76,'Perfil e pressupostos'!$A$25:$A$28,0))</f>
        <v>0.01</v>
      </c>
      <c r="AH76" s="41" t="n">
        <f aca="false">MIN('Perfil e pressupostos'!$F$29,AG76*('Perfil e pressupostos'!$F$25+'Perfil e pressupostos'!$F$26*AF76/100)*IF(AD76&lt;='Perfil e pressupostos'!$F$28,'Perfil e pressupostos'!$F$27,1))</f>
        <v>0.01054</v>
      </c>
      <c r="AI76" s="35" t="str">
        <f aca="false">IF(AQ76=0,"—",IF(AH76&gt;='Perfil e pressupostos'!$F$30,"Boa",IF(AH76&gt;='Perfil e pressupostos'!$F$31,"Média","Baixa")))</f>
        <v>Baixa</v>
      </c>
      <c r="AJ76" s="7" t="s">
        <v>656</v>
      </c>
      <c r="AK76" s="7" t="s">
        <v>184</v>
      </c>
      <c r="AL76" s="35" t="str">
        <f aca="false">IF(AK76="Prazo expirado","Prazo passado",IF(LEFT(AK76,11)="Monitorizar","Monitorizar",IF(Y76&gt;=3.5,"Prioridade",IF(Y76&gt;=3,"Candidatar (reach)","Reserva"))))</f>
        <v>Prioridade</v>
      </c>
      <c r="AM76" s="7" t="s">
        <v>680</v>
      </c>
      <c r="AN76" s="42" t="s">
        <v>681</v>
      </c>
      <c r="AO76" s="7" t="s">
        <v>187</v>
      </c>
      <c r="AP76" s="7" t="s">
        <v>188</v>
      </c>
      <c r="AQ76" s="7" t="n">
        <f aca="false">IF(OR(AK76="Prazo expirado",LEFT(AK76,11)="Monitorizar"),0,1)</f>
        <v>1</v>
      </c>
      <c r="AR76" s="41" t="n">
        <f aca="false">IF(AQ76=0,0,AH76)</f>
        <v>0.01054</v>
      </c>
      <c r="AS76" s="41" t="n">
        <f aca="false">AR76*W76/5</f>
        <v>0.01054</v>
      </c>
      <c r="AT76" s="43" t="n">
        <f aca="false">AS76+W76/1000000+(1000-ROW())/1000000000</f>
        <v>0.010545924</v>
      </c>
      <c r="AU76" s="35" t="n">
        <f aca="false">RANK(AT76,$AT$4:$AT$227)</f>
        <v>110</v>
      </c>
      <c r="AV76" s="40" t="n">
        <f aca="false">IF(AQ76=0,"",AF76)</f>
        <v>54.5</v>
      </c>
      <c r="AW76" s="41" t="n">
        <f aca="false">IF(AQ76=0,"",AH76)</f>
        <v>0.01054</v>
      </c>
    </row>
    <row r="77" customFormat="false" ht="45" hidden="false" customHeight="true" outlineLevel="0" collapsed="false">
      <c r="A77" s="35" t="n">
        <v>74</v>
      </c>
      <c r="B77" s="7" t="s">
        <v>666</v>
      </c>
      <c r="C77" s="7" t="s">
        <v>682</v>
      </c>
      <c r="D77" s="7" t="s">
        <v>683</v>
      </c>
      <c r="E77" s="7" t="s">
        <v>230</v>
      </c>
      <c r="F77" s="35" t="s">
        <v>81</v>
      </c>
      <c r="G77" s="7" t="s">
        <v>171</v>
      </c>
      <c r="H77" s="7" t="s">
        <v>172</v>
      </c>
      <c r="I77" s="7" t="s">
        <v>215</v>
      </c>
      <c r="J77" s="35" t="s">
        <v>174</v>
      </c>
      <c r="K77" s="7" t="s">
        <v>544</v>
      </c>
      <c r="L77" s="7" t="s">
        <v>545</v>
      </c>
      <c r="M77" s="7" t="s">
        <v>576</v>
      </c>
      <c r="N77" s="7" t="s">
        <v>215</v>
      </c>
      <c r="O77" s="7" t="s">
        <v>179</v>
      </c>
      <c r="P77" s="35" t="str">
        <f aca="true">IF(ISNUMBER(O77),O77-TODAY(),"")</f>
        <v/>
      </c>
      <c r="Q77" s="7" t="s">
        <v>179</v>
      </c>
      <c r="R77" s="36" t="n">
        <v>2800</v>
      </c>
      <c r="S77" s="36" t="n">
        <v>4000</v>
      </c>
      <c r="T77" s="37" t="n">
        <f aca="false">IF(R77="","",AVERAGE(R77,S77))</f>
        <v>3400</v>
      </c>
      <c r="U77" s="7" t="s">
        <v>547</v>
      </c>
      <c r="V77" s="38" t="s">
        <v>199</v>
      </c>
      <c r="W77" s="38" t="n">
        <v>3</v>
      </c>
      <c r="X77" s="38" t="n">
        <v>2</v>
      </c>
      <c r="Y77" s="35" t="n">
        <f aca="false">ROUND(0.6*W77+0.4*X77,1)</f>
        <v>2.6</v>
      </c>
      <c r="Z77" s="38" t="s">
        <v>182</v>
      </c>
      <c r="AA77" s="38" t="n">
        <v>1</v>
      </c>
      <c r="AB77" s="39" t="n">
        <f aca="false">1-AA77*(1-INDEX('Perfil e pressupostos'!$C$14:$C$20,MATCH(Z77,'Perfil e pressupostos'!$A$14:$A$20,0)))</f>
        <v>0.95</v>
      </c>
      <c r="AC77" s="38" t="n">
        <v>0.5</v>
      </c>
      <c r="AD77" s="38" t="n">
        <v>0.5</v>
      </c>
      <c r="AE77" s="38" t="n">
        <v>0.8</v>
      </c>
      <c r="AF77" s="40" t="n">
        <f aca="false">100*('Perfil e pressupostos'!$F$14*AB77+'Perfil e pressupostos'!$F$15*AC77+'Perfil e pressupostos'!$F$16*AD77+'Perfil e pressupostos'!$F$17*AE77)/'Perfil e pressupostos'!$F$18</f>
        <v>68</v>
      </c>
      <c r="AG77" s="41" t="n">
        <f aca="false">INDEX('Perfil e pressupostos'!$B$25:$B$28,MATCH(V77,'Perfil e pressupostos'!$A$25:$A$28,0))</f>
        <v>0.03</v>
      </c>
      <c r="AH77" s="41" t="n">
        <f aca="false">MIN('Perfil e pressupostos'!$F$29,AG77*('Perfil e pressupostos'!$F$25+'Perfil e pressupostos'!$F$26*AF77/100)*IF(AD77&lt;='Perfil e pressupostos'!$F$28,'Perfil e pressupostos'!$F$27,1))</f>
        <v>0.03648</v>
      </c>
      <c r="AI77" s="35" t="str">
        <f aca="false">IF(AQ77=0,"—",IF(AH77&gt;='Perfil e pressupostos'!$F$30,"Boa",IF(AH77&gt;='Perfil e pressupostos'!$F$31,"Média","Baixa")))</f>
        <v>Média</v>
      </c>
      <c r="AJ77" s="7" t="s">
        <v>412</v>
      </c>
      <c r="AK77" s="7" t="s">
        <v>215</v>
      </c>
      <c r="AL77" s="35" t="str">
        <f aca="false">IF(AK77="Prazo expirado","Prazo passado",IF(LEFT(AK77,11)="Monitorizar","Monitorizar",IF(Y77&gt;=3.5,"Prioridade",IF(Y77&gt;=3,"Candidatar (reach)","Reserva"))))</f>
        <v>Reserva</v>
      </c>
      <c r="AM77" s="7" t="s">
        <v>548</v>
      </c>
      <c r="AN77" s="42" t="s">
        <v>684</v>
      </c>
      <c r="AO77" s="7" t="s">
        <v>187</v>
      </c>
      <c r="AP77" s="7" t="s">
        <v>218</v>
      </c>
      <c r="AQ77" s="7" t="n">
        <f aca="false">IF(OR(AK77="Prazo expirado",LEFT(AK77,11)="Monitorizar"),0,1)</f>
        <v>1</v>
      </c>
      <c r="AR77" s="41" t="n">
        <f aca="false">IF(AQ77=0,0,AH77)</f>
        <v>0.03648</v>
      </c>
      <c r="AS77" s="41" t="n">
        <f aca="false">AR77*W77/5</f>
        <v>0.021888</v>
      </c>
      <c r="AT77" s="43" t="n">
        <f aca="false">AS77+W77/1000000+(1000-ROW())/1000000000</f>
        <v>0.021891923</v>
      </c>
      <c r="AU77" s="35" t="n">
        <f aca="false">RANK(AT77,$AT$4:$AT$227)</f>
        <v>71</v>
      </c>
      <c r="AV77" s="40" t="n">
        <f aca="false">IF(AQ77=0,"",AF77)</f>
        <v>68</v>
      </c>
      <c r="AW77" s="41" t="n">
        <f aca="false">IF(AQ77=0,"",AH77)</f>
        <v>0.03648</v>
      </c>
    </row>
    <row r="78" customFormat="false" ht="33.75" hidden="false" customHeight="true" outlineLevel="0" collapsed="false">
      <c r="A78" s="35" t="n">
        <v>75</v>
      </c>
      <c r="B78" s="7" t="s">
        <v>666</v>
      </c>
      <c r="C78" s="7" t="s">
        <v>685</v>
      </c>
      <c r="D78" s="7" t="s">
        <v>668</v>
      </c>
      <c r="E78" s="7" t="s">
        <v>230</v>
      </c>
      <c r="F78" s="35" t="s">
        <v>81</v>
      </c>
      <c r="G78" s="7" t="s">
        <v>171</v>
      </c>
      <c r="H78" s="7" t="s">
        <v>172</v>
      </c>
      <c r="I78" s="7" t="s">
        <v>215</v>
      </c>
      <c r="J78" s="35" t="s">
        <v>174</v>
      </c>
      <c r="K78" s="7" t="s">
        <v>669</v>
      </c>
      <c r="L78" s="7" t="s">
        <v>670</v>
      </c>
      <c r="M78" s="7" t="s">
        <v>576</v>
      </c>
      <c r="N78" s="7" t="s">
        <v>215</v>
      </c>
      <c r="O78" s="7" t="s">
        <v>179</v>
      </c>
      <c r="P78" s="35" t="str">
        <f aca="true">IF(ISNUMBER(O78),O78-TODAY(),"")</f>
        <v/>
      </c>
      <c r="Q78" s="7" t="s">
        <v>179</v>
      </c>
      <c r="R78" s="36" t="n">
        <v>2800</v>
      </c>
      <c r="S78" s="36" t="n">
        <v>4000</v>
      </c>
      <c r="T78" s="37" t="n">
        <f aca="false">IF(R78="","",AVERAGE(R78,S78))</f>
        <v>3400</v>
      </c>
      <c r="U78" s="7" t="s">
        <v>547</v>
      </c>
      <c r="V78" s="38" t="s">
        <v>181</v>
      </c>
      <c r="W78" s="38" t="n">
        <v>2.5</v>
      </c>
      <c r="X78" s="38" t="n">
        <v>1.6</v>
      </c>
      <c r="Y78" s="35" t="n">
        <f aca="false">ROUND(0.6*W78+0.4*X78,1)</f>
        <v>2.1</v>
      </c>
      <c r="Z78" s="38" t="s">
        <v>182</v>
      </c>
      <c r="AA78" s="38" t="n">
        <v>1</v>
      </c>
      <c r="AB78" s="39" t="n">
        <f aca="false">1-AA78*(1-INDEX('Perfil e pressupostos'!$C$14:$C$20,MATCH(Z78,'Perfil e pressupostos'!$A$14:$A$20,0)))</f>
        <v>0.95</v>
      </c>
      <c r="AC78" s="38" t="n">
        <v>0.4</v>
      </c>
      <c r="AD78" s="38" t="n">
        <v>0.5</v>
      </c>
      <c r="AE78" s="38" t="n">
        <v>0.7</v>
      </c>
      <c r="AF78" s="40" t="n">
        <f aca="false">100*('Perfil e pressupostos'!$F$14*AB78+'Perfil e pressupostos'!$F$15*AC78+'Perfil e pressupostos'!$F$16*AD78+'Perfil e pressupostos'!$F$17*AE78)/'Perfil e pressupostos'!$F$18</f>
        <v>63.5</v>
      </c>
      <c r="AG78" s="41" t="n">
        <f aca="false">INDEX('Perfil e pressupostos'!$B$25:$B$28,MATCH(V78,'Perfil e pressupostos'!$A$25:$A$28,0))</f>
        <v>0.01</v>
      </c>
      <c r="AH78" s="41" t="n">
        <f aca="false">MIN('Perfil e pressupostos'!$F$29,AG78*('Perfil e pressupostos'!$F$25+'Perfil e pressupostos'!$F$26*AF78/100)*IF(AD78&lt;='Perfil e pressupostos'!$F$28,'Perfil e pressupostos'!$F$27,1))</f>
        <v>0.01162</v>
      </c>
      <c r="AI78" s="35" t="str">
        <f aca="false">IF(AQ78=0,"—",IF(AH78&gt;='Perfil e pressupostos'!$F$30,"Boa",IF(AH78&gt;='Perfil e pressupostos'!$F$31,"Média","Baixa")))</f>
        <v>Baixa</v>
      </c>
      <c r="AJ78" s="7" t="s">
        <v>412</v>
      </c>
      <c r="AK78" s="7" t="s">
        <v>215</v>
      </c>
      <c r="AL78" s="35" t="str">
        <f aca="false">IF(AK78="Prazo expirado","Prazo passado",IF(LEFT(AK78,11)="Monitorizar","Monitorizar",IF(Y78&gt;=3.5,"Prioridade",IF(Y78&gt;=3,"Candidatar (reach)","Reserva"))))</f>
        <v>Reserva</v>
      </c>
      <c r="AM78" s="7" t="s">
        <v>548</v>
      </c>
      <c r="AN78" s="42" t="s">
        <v>686</v>
      </c>
      <c r="AO78" s="7" t="s">
        <v>187</v>
      </c>
      <c r="AP78" s="7" t="s">
        <v>218</v>
      </c>
      <c r="AQ78" s="7" t="n">
        <f aca="false">IF(OR(AK78="Prazo expirado",LEFT(AK78,11)="Monitorizar"),0,1)</f>
        <v>1</v>
      </c>
      <c r="AR78" s="41" t="n">
        <f aca="false">IF(AQ78=0,0,AH78)</f>
        <v>0.01162</v>
      </c>
      <c r="AS78" s="41" t="n">
        <f aca="false">AR78*W78/5</f>
        <v>0.00581</v>
      </c>
      <c r="AT78" s="43" t="n">
        <f aca="false">AS78+W78/1000000+(1000-ROW())/1000000000</f>
        <v>0.005813422</v>
      </c>
      <c r="AU78" s="35" t="n">
        <f aca="false">RANK(AT78,$AT$4:$AT$227)</f>
        <v>192</v>
      </c>
      <c r="AV78" s="40" t="n">
        <f aca="false">IF(AQ78=0,"",AF78)</f>
        <v>63.5</v>
      </c>
      <c r="AW78" s="41" t="n">
        <f aca="false">IF(AQ78=0,"",AH78)</f>
        <v>0.01162</v>
      </c>
    </row>
    <row r="79" customFormat="false" ht="45" hidden="false" customHeight="true" outlineLevel="0" collapsed="false">
      <c r="A79" s="35" t="n">
        <v>76</v>
      </c>
      <c r="B79" s="7" t="s">
        <v>687</v>
      </c>
      <c r="C79" s="7" t="s">
        <v>688</v>
      </c>
      <c r="D79" s="7" t="s">
        <v>169</v>
      </c>
      <c r="E79" s="7" t="s">
        <v>230</v>
      </c>
      <c r="F79" s="35" t="s">
        <v>95</v>
      </c>
      <c r="G79" s="7" t="s">
        <v>689</v>
      </c>
      <c r="H79" s="7" t="s">
        <v>172</v>
      </c>
      <c r="I79" s="7" t="s">
        <v>690</v>
      </c>
      <c r="J79" s="35" t="s">
        <v>174</v>
      </c>
      <c r="K79" s="7" t="s">
        <v>544</v>
      </c>
      <c r="L79" s="7" t="s">
        <v>545</v>
      </c>
      <c r="M79" s="7" t="s">
        <v>576</v>
      </c>
      <c r="N79" s="7" t="s">
        <v>215</v>
      </c>
      <c r="O79" s="7" t="s">
        <v>179</v>
      </c>
      <c r="P79" s="35" t="str">
        <f aca="true">IF(ISNUMBER(O79),O79-TODAY(),"")</f>
        <v/>
      </c>
      <c r="Q79" s="7" t="s">
        <v>179</v>
      </c>
      <c r="R79" s="36" t="n">
        <v>3000</v>
      </c>
      <c r="S79" s="36" t="n">
        <v>4500</v>
      </c>
      <c r="T79" s="37" t="n">
        <f aca="false">IF(R79="","",AVERAGE(R79,S79))</f>
        <v>3750</v>
      </c>
      <c r="U79" s="7" t="s">
        <v>547</v>
      </c>
      <c r="V79" s="38" t="s">
        <v>181</v>
      </c>
      <c r="W79" s="38" t="n">
        <v>4.5</v>
      </c>
      <c r="X79" s="38" t="n">
        <v>1.4</v>
      </c>
      <c r="Y79" s="35" t="n">
        <f aca="false">ROUND(0.6*W79+0.4*X79,1)</f>
        <v>3.3</v>
      </c>
      <c r="Z79" s="38" t="s">
        <v>304</v>
      </c>
      <c r="AA79" s="38" t="n">
        <v>0.3</v>
      </c>
      <c r="AB79" s="39" t="n">
        <f aca="false">1-AA79*(1-INDEX('Perfil e pressupostos'!$C$14:$C$20,MATCH(Z79,'Perfil e pressupostos'!$A$14:$A$20,0)))</f>
        <v>0.715</v>
      </c>
      <c r="AC79" s="38" t="n">
        <v>0.3</v>
      </c>
      <c r="AD79" s="38" t="n">
        <v>0.5</v>
      </c>
      <c r="AE79" s="38" t="n">
        <v>0.7</v>
      </c>
      <c r="AF79" s="40" t="n">
        <f aca="false">100*('Perfil e pressupostos'!$F$14*AB79+'Perfil e pressupostos'!$F$15*AC79+'Perfil e pressupostos'!$F$16*AD79+'Perfil e pressupostos'!$F$17*AE79)/'Perfil e pressupostos'!$F$18</f>
        <v>53.45</v>
      </c>
      <c r="AG79" s="41" t="n">
        <f aca="false">INDEX('Perfil e pressupostos'!$B$25:$B$28,MATCH(V79,'Perfil e pressupostos'!$A$25:$A$28,0))</f>
        <v>0.01</v>
      </c>
      <c r="AH79" s="41" t="n">
        <f aca="false">MIN('Perfil e pressupostos'!$F$29,AG79*('Perfil e pressupostos'!$F$25+'Perfil e pressupostos'!$F$26*AF79/100)*IF(AD79&lt;='Perfil e pressupostos'!$F$28,'Perfil e pressupostos'!$F$27,1))</f>
        <v>0.010414</v>
      </c>
      <c r="AI79" s="35" t="str">
        <f aca="false">IF(AQ79=0,"—",IF(AH79&gt;='Perfil e pressupostos'!$F$30,"Boa",IF(AH79&gt;='Perfil e pressupostos'!$F$31,"Média","Baixa")))</f>
        <v>Baixa</v>
      </c>
      <c r="AJ79" s="7" t="s">
        <v>577</v>
      </c>
      <c r="AK79" s="7" t="s">
        <v>215</v>
      </c>
      <c r="AL79" s="35" t="str">
        <f aca="false">IF(AK79="Prazo expirado","Prazo passado",IF(LEFT(AK79,11)="Monitorizar","Monitorizar",IF(Y79&gt;=3.5,"Prioridade",IF(Y79&gt;=3,"Candidatar (reach)","Reserva"))))</f>
        <v>Candidatar (reach)</v>
      </c>
      <c r="AM79" s="7" t="s">
        <v>548</v>
      </c>
      <c r="AN79" s="42" t="s">
        <v>691</v>
      </c>
      <c r="AO79" s="7" t="s">
        <v>187</v>
      </c>
      <c r="AP79" s="7" t="s">
        <v>218</v>
      </c>
      <c r="AQ79" s="7" t="n">
        <f aca="false">IF(OR(AK79="Prazo expirado",LEFT(AK79,11)="Monitorizar"),0,1)</f>
        <v>1</v>
      </c>
      <c r="AR79" s="41" t="n">
        <f aca="false">IF(AQ79=0,0,AH79)</f>
        <v>0.010414</v>
      </c>
      <c r="AS79" s="41" t="n">
        <f aca="false">AR79*W79/5</f>
        <v>0.0093726</v>
      </c>
      <c r="AT79" s="43" t="n">
        <f aca="false">AS79+W79/1000000+(1000-ROW())/1000000000</f>
        <v>0.009378021</v>
      </c>
      <c r="AU79" s="35" t="n">
        <f aca="false">RANK(AT79,$AT$4:$AT$227)</f>
        <v>119</v>
      </c>
      <c r="AV79" s="40" t="n">
        <f aca="false">IF(AQ79=0,"",AF79)</f>
        <v>53.45</v>
      </c>
      <c r="AW79" s="41" t="n">
        <f aca="false">IF(AQ79=0,"",AH79)</f>
        <v>0.010414</v>
      </c>
    </row>
    <row r="80" customFormat="false" ht="45" hidden="false" customHeight="true" outlineLevel="0" collapsed="false">
      <c r="A80" s="35" t="n">
        <v>77</v>
      </c>
      <c r="B80" s="7" t="s">
        <v>692</v>
      </c>
      <c r="C80" s="7" t="s">
        <v>693</v>
      </c>
      <c r="D80" s="7" t="s">
        <v>169</v>
      </c>
      <c r="E80" s="7" t="s">
        <v>230</v>
      </c>
      <c r="F80" s="35" t="s">
        <v>87</v>
      </c>
      <c r="G80" s="7" t="s">
        <v>87</v>
      </c>
      <c r="H80" s="7" t="s">
        <v>172</v>
      </c>
      <c r="I80" s="7" t="s">
        <v>694</v>
      </c>
      <c r="J80" s="35" t="s">
        <v>695</v>
      </c>
      <c r="K80" s="7" t="s">
        <v>544</v>
      </c>
      <c r="L80" s="7" t="s">
        <v>545</v>
      </c>
      <c r="M80" s="7" t="s">
        <v>630</v>
      </c>
      <c r="N80" s="7" t="s">
        <v>215</v>
      </c>
      <c r="O80" s="7" t="s">
        <v>179</v>
      </c>
      <c r="P80" s="35" t="str">
        <f aca="true">IF(ISNUMBER(O80),O80-TODAY(),"")</f>
        <v/>
      </c>
      <c r="Q80" s="7" t="s">
        <v>179</v>
      </c>
      <c r="R80" s="36" t="n">
        <v>1500</v>
      </c>
      <c r="S80" s="36" t="n">
        <v>2500</v>
      </c>
      <c r="T80" s="37" t="n">
        <f aca="false">IF(R80="","",AVERAGE(R80,S80))</f>
        <v>2000</v>
      </c>
      <c r="U80" s="7" t="s">
        <v>547</v>
      </c>
      <c r="V80" s="38" t="s">
        <v>181</v>
      </c>
      <c r="W80" s="38" t="n">
        <v>5</v>
      </c>
      <c r="X80" s="38" t="n">
        <v>1.3</v>
      </c>
      <c r="Y80" s="35" t="n">
        <f aca="false">ROUND(0.6*W80+0.4*X80,1)</f>
        <v>3.5</v>
      </c>
      <c r="Z80" s="38" t="s">
        <v>304</v>
      </c>
      <c r="AA80" s="38" t="n">
        <v>0.5</v>
      </c>
      <c r="AB80" s="39" t="n">
        <f aca="false">1-AA80*(1-INDEX('Perfil e pressupostos'!$C$14:$C$20,MATCH(Z80,'Perfil e pressupostos'!$A$14:$A$20,0)))</f>
        <v>0.525</v>
      </c>
      <c r="AC80" s="38" t="n">
        <v>0.3</v>
      </c>
      <c r="AD80" s="38" t="n">
        <v>0.5</v>
      </c>
      <c r="AE80" s="38" t="n">
        <v>0.7</v>
      </c>
      <c r="AF80" s="40" t="n">
        <f aca="false">100*('Perfil e pressupostos'!$F$14*AB80+'Perfil e pressupostos'!$F$15*AC80+'Perfil e pressupostos'!$F$16*AD80+'Perfil e pressupostos'!$F$17*AE80)/'Perfil e pressupostos'!$F$18</f>
        <v>47.75</v>
      </c>
      <c r="AG80" s="41" t="n">
        <f aca="false">INDEX('Perfil e pressupostos'!$B$25:$B$28,MATCH(V80,'Perfil e pressupostos'!$A$25:$A$28,0))</f>
        <v>0.01</v>
      </c>
      <c r="AH80" s="41" t="n">
        <f aca="false">MIN('Perfil e pressupostos'!$F$29,AG80*('Perfil e pressupostos'!$F$25+'Perfil e pressupostos'!$F$26*AF80/100)*IF(AD80&lt;='Perfil e pressupostos'!$F$28,'Perfil e pressupostos'!$F$27,1))</f>
        <v>0.00973</v>
      </c>
      <c r="AI80" s="35" t="str">
        <f aca="false">IF(AQ80=0,"—",IF(AH80&gt;='Perfil e pressupostos'!$F$30,"Boa",IF(AH80&gt;='Perfil e pressupostos'!$F$31,"Média","Baixa")))</f>
        <v>Baixa</v>
      </c>
      <c r="AJ80" s="7" t="s">
        <v>460</v>
      </c>
      <c r="AK80" s="7" t="s">
        <v>215</v>
      </c>
      <c r="AL80" s="35" t="str">
        <f aca="false">IF(AK80="Prazo expirado","Prazo passado",IF(LEFT(AK80,11)="Monitorizar","Monitorizar",IF(Y80&gt;=3.5,"Prioridade",IF(Y80&gt;=3,"Candidatar (reach)","Reserva"))))</f>
        <v>Prioridade</v>
      </c>
      <c r="AM80" s="7" t="s">
        <v>548</v>
      </c>
      <c r="AN80" s="42" t="s">
        <v>696</v>
      </c>
      <c r="AO80" s="7" t="s">
        <v>187</v>
      </c>
      <c r="AP80" s="7" t="s">
        <v>218</v>
      </c>
      <c r="AQ80" s="7" t="n">
        <f aca="false">IF(OR(AK80="Prazo expirado",LEFT(AK80,11)="Monitorizar"),0,1)</f>
        <v>1</v>
      </c>
      <c r="AR80" s="41" t="n">
        <f aca="false">IF(AQ80=0,0,AH80)</f>
        <v>0.00973</v>
      </c>
      <c r="AS80" s="41" t="n">
        <f aca="false">AR80*W80/5</f>
        <v>0.00973</v>
      </c>
      <c r="AT80" s="43" t="n">
        <f aca="false">AS80+W80/1000000+(1000-ROW())/1000000000</f>
        <v>0.00973592</v>
      </c>
      <c r="AU80" s="35" t="n">
        <f aca="false">RANK(AT80,$AT$4:$AT$227)</f>
        <v>116</v>
      </c>
      <c r="AV80" s="40" t="n">
        <f aca="false">IF(AQ80=0,"",AF80)</f>
        <v>47.75</v>
      </c>
      <c r="AW80" s="41" t="n">
        <f aca="false">IF(AQ80=0,"",AH80)</f>
        <v>0.00973</v>
      </c>
    </row>
    <row r="81" customFormat="false" ht="45" hidden="false" customHeight="true" outlineLevel="0" collapsed="false">
      <c r="A81" s="35" t="n">
        <v>78</v>
      </c>
      <c r="B81" s="7" t="s">
        <v>697</v>
      </c>
      <c r="C81" s="7" t="s">
        <v>698</v>
      </c>
      <c r="D81" s="7" t="s">
        <v>169</v>
      </c>
      <c r="E81" s="7" t="s">
        <v>230</v>
      </c>
      <c r="F81" s="35" t="s">
        <v>95</v>
      </c>
      <c r="G81" s="7" t="s">
        <v>699</v>
      </c>
      <c r="H81" s="7" t="s">
        <v>172</v>
      </c>
      <c r="I81" s="7" t="s">
        <v>215</v>
      </c>
      <c r="J81" s="35" t="s">
        <v>207</v>
      </c>
      <c r="K81" s="7" t="s">
        <v>544</v>
      </c>
      <c r="L81" s="7" t="s">
        <v>545</v>
      </c>
      <c r="M81" s="7" t="s">
        <v>576</v>
      </c>
      <c r="N81" s="7" t="s">
        <v>215</v>
      </c>
      <c r="O81" s="7" t="s">
        <v>179</v>
      </c>
      <c r="P81" s="35" t="str">
        <f aca="true">IF(ISNUMBER(O81),O81-TODAY(),"")</f>
        <v/>
      </c>
      <c r="Q81" s="7" t="s">
        <v>179</v>
      </c>
      <c r="R81" s="36" t="n">
        <v>3000</v>
      </c>
      <c r="S81" s="36" t="n">
        <v>4500</v>
      </c>
      <c r="T81" s="37" t="n">
        <f aca="false">IF(R81="","",AVERAGE(R81,S81))</f>
        <v>3750</v>
      </c>
      <c r="U81" s="7" t="s">
        <v>547</v>
      </c>
      <c r="V81" s="38" t="s">
        <v>181</v>
      </c>
      <c r="W81" s="38" t="n">
        <v>5</v>
      </c>
      <c r="X81" s="38" t="n">
        <v>1.3</v>
      </c>
      <c r="Y81" s="35" t="n">
        <f aca="false">ROUND(0.6*W81+0.4*X81,1)</f>
        <v>3.5</v>
      </c>
      <c r="Z81" s="38" t="s">
        <v>304</v>
      </c>
      <c r="AA81" s="38" t="n">
        <v>0.3</v>
      </c>
      <c r="AB81" s="39" t="n">
        <f aca="false">1-AA81*(1-INDEX('Perfil e pressupostos'!$C$14:$C$20,MATCH(Z81,'Perfil e pressupostos'!$A$14:$A$20,0)))</f>
        <v>0.715</v>
      </c>
      <c r="AC81" s="38" t="n">
        <v>0.2</v>
      </c>
      <c r="AD81" s="38" t="n">
        <v>0.5</v>
      </c>
      <c r="AE81" s="38" t="n">
        <v>0.7</v>
      </c>
      <c r="AF81" s="40" t="n">
        <f aca="false">100*('Perfil e pressupostos'!$F$14*AB81+'Perfil e pressupostos'!$F$15*AC81+'Perfil e pressupostos'!$F$16*AD81+'Perfil e pressupostos'!$F$17*AE81)/'Perfil e pressupostos'!$F$18</f>
        <v>50.45</v>
      </c>
      <c r="AG81" s="41" t="n">
        <f aca="false">INDEX('Perfil e pressupostos'!$B$25:$B$28,MATCH(V81,'Perfil e pressupostos'!$A$25:$A$28,0))</f>
        <v>0.01</v>
      </c>
      <c r="AH81" s="41" t="n">
        <f aca="false">MIN('Perfil e pressupostos'!$F$29,AG81*('Perfil e pressupostos'!$F$25+'Perfil e pressupostos'!$F$26*AF81/100)*IF(AD81&lt;='Perfil e pressupostos'!$F$28,'Perfil e pressupostos'!$F$27,1))</f>
        <v>0.010054</v>
      </c>
      <c r="AI81" s="35" t="str">
        <f aca="false">IF(AQ81=0,"—",IF(AH81&gt;='Perfil e pressupostos'!$F$30,"Boa",IF(AH81&gt;='Perfil e pressupostos'!$F$31,"Média","Baixa")))</f>
        <v>Baixa</v>
      </c>
      <c r="AJ81" s="7" t="s">
        <v>700</v>
      </c>
      <c r="AK81" s="7" t="s">
        <v>215</v>
      </c>
      <c r="AL81" s="35" t="str">
        <f aca="false">IF(AK81="Prazo expirado","Prazo passado",IF(LEFT(AK81,11)="Monitorizar","Monitorizar",IF(Y81&gt;=3.5,"Prioridade",IF(Y81&gt;=3,"Candidatar (reach)","Reserva"))))</f>
        <v>Prioridade</v>
      </c>
      <c r="AM81" s="7" t="s">
        <v>701</v>
      </c>
      <c r="AN81" s="42" t="s">
        <v>702</v>
      </c>
      <c r="AO81" s="7" t="s">
        <v>361</v>
      </c>
      <c r="AP81" s="7" t="s">
        <v>218</v>
      </c>
      <c r="AQ81" s="7" t="n">
        <f aca="false">IF(OR(AK81="Prazo expirado",LEFT(AK81,11)="Monitorizar"),0,1)</f>
        <v>1</v>
      </c>
      <c r="AR81" s="41" t="n">
        <f aca="false">IF(AQ81=0,0,AH81)</f>
        <v>0.010054</v>
      </c>
      <c r="AS81" s="41" t="n">
        <f aca="false">AR81*W81/5</f>
        <v>0.010054</v>
      </c>
      <c r="AT81" s="43" t="n">
        <f aca="false">AS81+W81/1000000+(1000-ROW())/1000000000</f>
        <v>0.010059919</v>
      </c>
      <c r="AU81" s="35" t="n">
        <f aca="false">RANK(AT81,$AT$4:$AT$227)</f>
        <v>114</v>
      </c>
      <c r="AV81" s="40" t="n">
        <f aca="false">IF(AQ81=0,"",AF81)</f>
        <v>50.45</v>
      </c>
      <c r="AW81" s="41" t="n">
        <f aca="false">IF(AQ81=0,"",AH81)</f>
        <v>0.010054</v>
      </c>
    </row>
    <row r="82" customFormat="false" ht="45" hidden="false" customHeight="true" outlineLevel="0" collapsed="false">
      <c r="A82" s="35" t="n">
        <v>79</v>
      </c>
      <c r="B82" s="7" t="s">
        <v>697</v>
      </c>
      <c r="C82" s="7" t="s">
        <v>703</v>
      </c>
      <c r="D82" s="7" t="s">
        <v>169</v>
      </c>
      <c r="E82" s="7" t="s">
        <v>230</v>
      </c>
      <c r="F82" s="35" t="s">
        <v>81</v>
      </c>
      <c r="G82" s="7" t="s">
        <v>171</v>
      </c>
      <c r="H82" s="7" t="s">
        <v>172</v>
      </c>
      <c r="I82" s="7" t="s">
        <v>215</v>
      </c>
      <c r="J82" s="35" t="s">
        <v>207</v>
      </c>
      <c r="K82" s="7" t="s">
        <v>544</v>
      </c>
      <c r="L82" s="7" t="s">
        <v>545</v>
      </c>
      <c r="M82" s="7" t="s">
        <v>576</v>
      </c>
      <c r="N82" s="7" t="s">
        <v>215</v>
      </c>
      <c r="O82" s="7" t="s">
        <v>179</v>
      </c>
      <c r="P82" s="35" t="str">
        <f aca="true">IF(ISNUMBER(O82),O82-TODAY(),"")</f>
        <v/>
      </c>
      <c r="Q82" s="7" t="s">
        <v>179</v>
      </c>
      <c r="R82" s="36" t="n">
        <v>2800</v>
      </c>
      <c r="S82" s="36" t="n">
        <v>4000</v>
      </c>
      <c r="T82" s="37" t="n">
        <f aca="false">IF(R82="","",AVERAGE(R82,S82))</f>
        <v>3400</v>
      </c>
      <c r="U82" s="7" t="s">
        <v>547</v>
      </c>
      <c r="V82" s="38" t="s">
        <v>181</v>
      </c>
      <c r="W82" s="38" t="n">
        <v>5</v>
      </c>
      <c r="X82" s="38" t="n">
        <v>1.5</v>
      </c>
      <c r="Y82" s="35" t="n">
        <f aca="false">ROUND(0.6*W82+0.4*X82,1)</f>
        <v>3.6</v>
      </c>
      <c r="Z82" s="38" t="s">
        <v>182</v>
      </c>
      <c r="AA82" s="38" t="n">
        <v>1</v>
      </c>
      <c r="AB82" s="39" t="n">
        <f aca="false">1-AA82*(1-INDEX('Perfil e pressupostos'!$C$14:$C$20,MATCH(Z82,'Perfil e pressupostos'!$A$14:$A$20,0)))</f>
        <v>0.95</v>
      </c>
      <c r="AC82" s="38" t="n">
        <v>0.2</v>
      </c>
      <c r="AD82" s="38" t="n">
        <v>0.5</v>
      </c>
      <c r="AE82" s="38" t="n">
        <v>0.7</v>
      </c>
      <c r="AF82" s="40" t="n">
        <f aca="false">100*('Perfil e pressupostos'!$F$14*AB82+'Perfil e pressupostos'!$F$15*AC82+'Perfil e pressupostos'!$F$16*AD82+'Perfil e pressupostos'!$F$17*AE82)/'Perfil e pressupostos'!$F$18</f>
        <v>57.5</v>
      </c>
      <c r="AG82" s="41" t="n">
        <f aca="false">INDEX('Perfil e pressupostos'!$B$25:$B$28,MATCH(V82,'Perfil e pressupostos'!$A$25:$A$28,0))</f>
        <v>0.01</v>
      </c>
      <c r="AH82" s="41" t="n">
        <f aca="false">MIN('Perfil e pressupostos'!$F$29,AG82*('Perfil e pressupostos'!$F$25+'Perfil e pressupostos'!$F$26*AF82/100)*IF(AD82&lt;='Perfil e pressupostos'!$F$28,'Perfil e pressupostos'!$F$27,1))</f>
        <v>0.0109</v>
      </c>
      <c r="AI82" s="35" t="str">
        <f aca="false">IF(AQ82=0,"—",IF(AH82&gt;='Perfil e pressupostos'!$F$30,"Boa",IF(AH82&gt;='Perfil e pressupostos'!$F$31,"Média","Baixa")))</f>
        <v>Baixa</v>
      </c>
      <c r="AJ82" s="7" t="s">
        <v>656</v>
      </c>
      <c r="AK82" s="7" t="s">
        <v>215</v>
      </c>
      <c r="AL82" s="35" t="str">
        <f aca="false">IF(AK82="Prazo expirado","Prazo passado",IF(LEFT(AK82,11)="Monitorizar","Monitorizar",IF(Y82&gt;=3.5,"Prioridade",IF(Y82&gt;=3,"Candidatar (reach)","Reserva"))))</f>
        <v>Prioridade</v>
      </c>
      <c r="AM82" s="7" t="s">
        <v>548</v>
      </c>
      <c r="AN82" s="42" t="s">
        <v>704</v>
      </c>
      <c r="AO82" s="7" t="s">
        <v>361</v>
      </c>
      <c r="AP82" s="7" t="s">
        <v>218</v>
      </c>
      <c r="AQ82" s="7" t="n">
        <f aca="false">IF(OR(AK82="Prazo expirado",LEFT(AK82,11)="Monitorizar"),0,1)</f>
        <v>1</v>
      </c>
      <c r="AR82" s="41" t="n">
        <f aca="false">IF(AQ82=0,0,AH82)</f>
        <v>0.0109</v>
      </c>
      <c r="AS82" s="41" t="n">
        <f aca="false">AR82*W82/5</f>
        <v>0.0109</v>
      </c>
      <c r="AT82" s="43" t="n">
        <f aca="false">AS82+W82/1000000+(1000-ROW())/1000000000</f>
        <v>0.010905918</v>
      </c>
      <c r="AU82" s="35" t="n">
        <f aca="false">RANK(AT82,$AT$4:$AT$227)</f>
        <v>106</v>
      </c>
      <c r="AV82" s="40" t="n">
        <f aca="false">IF(AQ82=0,"",AF82)</f>
        <v>57.5</v>
      </c>
      <c r="AW82" s="41" t="n">
        <f aca="false">IF(AQ82=0,"",AH82)</f>
        <v>0.0109</v>
      </c>
    </row>
    <row r="83" customFormat="false" ht="45" hidden="false" customHeight="true" outlineLevel="0" collapsed="false">
      <c r="A83" s="35" t="n">
        <v>80</v>
      </c>
      <c r="B83" s="7" t="s">
        <v>697</v>
      </c>
      <c r="C83" s="7" t="s">
        <v>705</v>
      </c>
      <c r="D83" s="7" t="s">
        <v>169</v>
      </c>
      <c r="E83" s="7" t="s">
        <v>230</v>
      </c>
      <c r="F83" s="35" t="s">
        <v>81</v>
      </c>
      <c r="G83" s="7" t="s">
        <v>171</v>
      </c>
      <c r="H83" s="7" t="s">
        <v>172</v>
      </c>
      <c r="I83" s="7" t="s">
        <v>215</v>
      </c>
      <c r="J83" s="35" t="s">
        <v>207</v>
      </c>
      <c r="K83" s="7" t="s">
        <v>544</v>
      </c>
      <c r="L83" s="7" t="s">
        <v>545</v>
      </c>
      <c r="M83" s="7" t="s">
        <v>576</v>
      </c>
      <c r="N83" s="7" t="s">
        <v>215</v>
      </c>
      <c r="O83" s="7" t="s">
        <v>179</v>
      </c>
      <c r="P83" s="35" t="str">
        <f aca="true">IF(ISNUMBER(O83),O83-TODAY(),"")</f>
        <v/>
      </c>
      <c r="Q83" s="7" t="s">
        <v>179</v>
      </c>
      <c r="R83" s="36" t="n">
        <v>2800</v>
      </c>
      <c r="S83" s="36" t="n">
        <v>4000</v>
      </c>
      <c r="T83" s="37" t="n">
        <f aca="false">IF(R83="","",AVERAGE(R83,S83))</f>
        <v>3400</v>
      </c>
      <c r="U83" s="7" t="s">
        <v>547</v>
      </c>
      <c r="V83" s="38" t="s">
        <v>181</v>
      </c>
      <c r="W83" s="38" t="n">
        <v>5</v>
      </c>
      <c r="X83" s="38" t="n">
        <v>1.5</v>
      </c>
      <c r="Y83" s="35" t="n">
        <f aca="false">ROUND(0.6*W83+0.4*X83,1)</f>
        <v>3.6</v>
      </c>
      <c r="Z83" s="38" t="s">
        <v>182</v>
      </c>
      <c r="AA83" s="38" t="n">
        <v>1</v>
      </c>
      <c r="AB83" s="39" t="n">
        <f aca="false">1-AA83*(1-INDEX('Perfil e pressupostos'!$C$14:$C$20,MATCH(Z83,'Perfil e pressupostos'!$A$14:$A$20,0)))</f>
        <v>0.95</v>
      </c>
      <c r="AC83" s="38" t="n">
        <v>0.2</v>
      </c>
      <c r="AD83" s="38" t="n">
        <v>0.5</v>
      </c>
      <c r="AE83" s="38" t="n">
        <v>0.7</v>
      </c>
      <c r="AF83" s="40" t="n">
        <f aca="false">100*('Perfil e pressupostos'!$F$14*AB83+'Perfil e pressupostos'!$F$15*AC83+'Perfil e pressupostos'!$F$16*AD83+'Perfil e pressupostos'!$F$17*AE83)/'Perfil e pressupostos'!$F$18</f>
        <v>57.5</v>
      </c>
      <c r="AG83" s="41" t="n">
        <f aca="false">INDEX('Perfil e pressupostos'!$B$25:$B$28,MATCH(V83,'Perfil e pressupostos'!$A$25:$A$28,0))</f>
        <v>0.01</v>
      </c>
      <c r="AH83" s="41" t="n">
        <f aca="false">MIN('Perfil e pressupostos'!$F$29,AG83*('Perfil e pressupostos'!$F$25+'Perfil e pressupostos'!$F$26*AF83/100)*IF(AD83&lt;='Perfil e pressupostos'!$F$28,'Perfil e pressupostos'!$F$27,1))</f>
        <v>0.0109</v>
      </c>
      <c r="AI83" s="35" t="str">
        <f aca="false">IF(AQ83=0,"—",IF(AH83&gt;='Perfil e pressupostos'!$F$30,"Boa",IF(AH83&gt;='Perfil e pressupostos'!$F$31,"Média","Baixa")))</f>
        <v>Baixa</v>
      </c>
      <c r="AJ83" s="7" t="s">
        <v>656</v>
      </c>
      <c r="AK83" s="7" t="s">
        <v>215</v>
      </c>
      <c r="AL83" s="35" t="str">
        <f aca="false">IF(AK83="Prazo expirado","Prazo passado",IF(LEFT(AK83,11)="Monitorizar","Monitorizar",IF(Y83&gt;=3.5,"Prioridade",IF(Y83&gt;=3,"Candidatar (reach)","Reserva"))))</f>
        <v>Prioridade</v>
      </c>
      <c r="AM83" s="7" t="s">
        <v>548</v>
      </c>
      <c r="AN83" s="42" t="s">
        <v>706</v>
      </c>
      <c r="AO83" s="7" t="s">
        <v>361</v>
      </c>
      <c r="AP83" s="7" t="s">
        <v>218</v>
      </c>
      <c r="AQ83" s="7" t="n">
        <f aca="false">IF(OR(AK83="Prazo expirado",LEFT(AK83,11)="Monitorizar"),0,1)</f>
        <v>1</v>
      </c>
      <c r="AR83" s="41" t="n">
        <f aca="false">IF(AQ83=0,0,AH83)</f>
        <v>0.0109</v>
      </c>
      <c r="AS83" s="41" t="n">
        <f aca="false">AR83*W83/5</f>
        <v>0.0109</v>
      </c>
      <c r="AT83" s="43" t="n">
        <f aca="false">AS83+W83/1000000+(1000-ROW())/1000000000</f>
        <v>0.010905917</v>
      </c>
      <c r="AU83" s="35" t="n">
        <f aca="false">RANK(AT83,$AT$4:$AT$227)</f>
        <v>107</v>
      </c>
      <c r="AV83" s="40" t="n">
        <f aca="false">IF(AQ83=0,"",AF83)</f>
        <v>57.5</v>
      </c>
      <c r="AW83" s="41" t="n">
        <f aca="false">IF(AQ83=0,"",AH83)</f>
        <v>0.0109</v>
      </c>
    </row>
    <row r="84" customFormat="false" ht="45" hidden="false" customHeight="true" outlineLevel="0" collapsed="false">
      <c r="A84" s="35" t="n">
        <v>81</v>
      </c>
      <c r="B84" s="7" t="s">
        <v>707</v>
      </c>
      <c r="C84" s="7" t="s">
        <v>708</v>
      </c>
      <c r="D84" s="7" t="s">
        <v>169</v>
      </c>
      <c r="E84" s="7" t="s">
        <v>230</v>
      </c>
      <c r="F84" s="35" t="s">
        <v>81</v>
      </c>
      <c r="G84" s="7" t="s">
        <v>171</v>
      </c>
      <c r="H84" s="7" t="s">
        <v>172</v>
      </c>
      <c r="I84" s="7" t="s">
        <v>215</v>
      </c>
      <c r="J84" s="35" t="s">
        <v>207</v>
      </c>
      <c r="K84" s="7" t="s">
        <v>544</v>
      </c>
      <c r="L84" s="7" t="s">
        <v>545</v>
      </c>
      <c r="M84" s="7" t="s">
        <v>576</v>
      </c>
      <c r="N84" s="7" t="s">
        <v>215</v>
      </c>
      <c r="O84" s="7" t="s">
        <v>179</v>
      </c>
      <c r="P84" s="35" t="str">
        <f aca="true">IF(ISNUMBER(O84),O84-TODAY(),"")</f>
        <v/>
      </c>
      <c r="Q84" s="7" t="s">
        <v>179</v>
      </c>
      <c r="R84" s="36" t="n">
        <v>2800</v>
      </c>
      <c r="S84" s="36" t="n">
        <v>4000</v>
      </c>
      <c r="T84" s="37" t="n">
        <f aca="false">IF(R84="","",AVERAGE(R84,S84))</f>
        <v>3400</v>
      </c>
      <c r="U84" s="7" t="s">
        <v>547</v>
      </c>
      <c r="V84" s="38" t="s">
        <v>181</v>
      </c>
      <c r="W84" s="38" t="n">
        <v>5</v>
      </c>
      <c r="X84" s="38" t="n">
        <v>1.4</v>
      </c>
      <c r="Y84" s="35" t="n">
        <f aca="false">ROUND(0.6*W84+0.4*X84,1)</f>
        <v>3.6</v>
      </c>
      <c r="Z84" s="38" t="s">
        <v>182</v>
      </c>
      <c r="AA84" s="38" t="n">
        <v>1</v>
      </c>
      <c r="AB84" s="39" t="n">
        <f aca="false">1-AA84*(1-INDEX('Perfil e pressupostos'!$C$14:$C$20,MATCH(Z84,'Perfil e pressupostos'!$A$14:$A$20,0)))</f>
        <v>0.95</v>
      </c>
      <c r="AC84" s="38" t="n">
        <v>0.1</v>
      </c>
      <c r="AD84" s="38" t="n">
        <v>0.5</v>
      </c>
      <c r="AE84" s="38" t="n">
        <v>0.7</v>
      </c>
      <c r="AF84" s="40" t="n">
        <f aca="false">100*('Perfil e pressupostos'!$F$14*AB84+'Perfil e pressupostos'!$F$15*AC84+'Perfil e pressupostos'!$F$16*AD84+'Perfil e pressupostos'!$F$17*AE84)/'Perfil e pressupostos'!$F$18</f>
        <v>54.5</v>
      </c>
      <c r="AG84" s="41" t="n">
        <f aca="false">INDEX('Perfil e pressupostos'!$B$25:$B$28,MATCH(V84,'Perfil e pressupostos'!$A$25:$A$28,0))</f>
        <v>0.01</v>
      </c>
      <c r="AH84" s="41" t="n">
        <f aca="false">MIN('Perfil e pressupostos'!$F$29,AG84*('Perfil e pressupostos'!$F$25+'Perfil e pressupostos'!$F$26*AF84/100)*IF(AD84&lt;='Perfil e pressupostos'!$F$28,'Perfil e pressupostos'!$F$27,1))</f>
        <v>0.01054</v>
      </c>
      <c r="AI84" s="35" t="str">
        <f aca="false">IF(AQ84=0,"—",IF(AH84&gt;='Perfil e pressupostos'!$F$30,"Boa",IF(AH84&gt;='Perfil e pressupostos'!$F$31,"Média","Baixa")))</f>
        <v>Baixa</v>
      </c>
      <c r="AJ84" s="7" t="s">
        <v>656</v>
      </c>
      <c r="AK84" s="7" t="s">
        <v>215</v>
      </c>
      <c r="AL84" s="35" t="str">
        <f aca="false">IF(AK84="Prazo expirado","Prazo passado",IF(LEFT(AK84,11)="Monitorizar","Monitorizar",IF(Y84&gt;=3.5,"Prioridade",IF(Y84&gt;=3,"Candidatar (reach)","Reserva"))))</f>
        <v>Prioridade</v>
      </c>
      <c r="AM84" s="7" t="s">
        <v>548</v>
      </c>
      <c r="AN84" s="42" t="s">
        <v>709</v>
      </c>
      <c r="AO84" s="7" t="s">
        <v>361</v>
      </c>
      <c r="AP84" s="7" t="s">
        <v>218</v>
      </c>
      <c r="AQ84" s="7" t="n">
        <f aca="false">IF(OR(AK84="Prazo expirado",LEFT(AK84,11)="Monitorizar"),0,1)</f>
        <v>1</v>
      </c>
      <c r="AR84" s="41" t="n">
        <f aca="false">IF(AQ84=0,0,AH84)</f>
        <v>0.01054</v>
      </c>
      <c r="AS84" s="41" t="n">
        <f aca="false">AR84*W84/5</f>
        <v>0.01054</v>
      </c>
      <c r="AT84" s="43" t="n">
        <f aca="false">AS84+W84/1000000+(1000-ROW())/1000000000</f>
        <v>0.010545916</v>
      </c>
      <c r="AU84" s="35" t="n">
        <f aca="false">RANK(AT84,$AT$4:$AT$227)</f>
        <v>111</v>
      </c>
      <c r="AV84" s="40" t="n">
        <f aca="false">IF(AQ84=0,"",AF84)</f>
        <v>54.5</v>
      </c>
      <c r="AW84" s="41" t="n">
        <f aca="false">IF(AQ84=0,"",AH84)</f>
        <v>0.01054</v>
      </c>
    </row>
    <row r="85" customFormat="false" ht="45" hidden="false" customHeight="true" outlineLevel="0" collapsed="false">
      <c r="A85" s="35" t="n">
        <v>82</v>
      </c>
      <c r="B85" s="7" t="s">
        <v>228</v>
      </c>
      <c r="C85" s="7" t="s">
        <v>710</v>
      </c>
      <c r="D85" s="7" t="s">
        <v>169</v>
      </c>
      <c r="E85" s="7" t="s">
        <v>230</v>
      </c>
      <c r="F85" s="35" t="s">
        <v>81</v>
      </c>
      <c r="G85" s="7" t="s">
        <v>171</v>
      </c>
      <c r="H85" s="7" t="s">
        <v>172</v>
      </c>
      <c r="I85" s="7" t="s">
        <v>465</v>
      </c>
      <c r="J85" s="35" t="s">
        <v>207</v>
      </c>
      <c r="K85" s="7" t="s">
        <v>544</v>
      </c>
      <c r="L85" s="7" t="s">
        <v>545</v>
      </c>
      <c r="M85" s="7" t="s">
        <v>576</v>
      </c>
      <c r="N85" s="7" t="s">
        <v>215</v>
      </c>
      <c r="O85" s="7" t="s">
        <v>179</v>
      </c>
      <c r="P85" s="35" t="str">
        <f aca="true">IF(ISNUMBER(O85),O85-TODAY(),"")</f>
        <v/>
      </c>
      <c r="Q85" s="7" t="s">
        <v>179</v>
      </c>
      <c r="R85" s="36" t="n">
        <v>2800</v>
      </c>
      <c r="S85" s="36" t="n">
        <v>4000</v>
      </c>
      <c r="T85" s="37" t="n">
        <f aca="false">IF(R85="","",AVERAGE(R85,S85))</f>
        <v>3400</v>
      </c>
      <c r="U85" s="7" t="s">
        <v>547</v>
      </c>
      <c r="V85" s="38" t="s">
        <v>181</v>
      </c>
      <c r="W85" s="38" t="n">
        <v>5</v>
      </c>
      <c r="X85" s="38" t="n">
        <v>1.9</v>
      </c>
      <c r="Y85" s="35" t="n">
        <f aca="false">ROUND(0.6*W85+0.4*X85,1)</f>
        <v>3.8</v>
      </c>
      <c r="Z85" s="38" t="s">
        <v>182</v>
      </c>
      <c r="AA85" s="38" t="n">
        <v>1</v>
      </c>
      <c r="AB85" s="39" t="n">
        <f aca="false">1-AA85*(1-INDEX('Perfil e pressupostos'!$C$14:$C$20,MATCH(Z85,'Perfil e pressupostos'!$A$14:$A$20,0)))</f>
        <v>0.95</v>
      </c>
      <c r="AC85" s="38" t="n">
        <v>0.3</v>
      </c>
      <c r="AD85" s="38" t="n">
        <v>0.9</v>
      </c>
      <c r="AE85" s="38" t="n">
        <v>0.8</v>
      </c>
      <c r="AF85" s="40" t="n">
        <f aca="false">100*('Perfil e pressupostos'!$F$14*AB85+'Perfil e pressupostos'!$F$15*AC85+'Perfil e pressupostos'!$F$16*AD85+'Perfil e pressupostos'!$F$17*AE85)/'Perfil e pressupostos'!$F$18</f>
        <v>72</v>
      </c>
      <c r="AG85" s="41" t="n">
        <f aca="false">INDEX('Perfil e pressupostos'!$B$25:$B$28,MATCH(V85,'Perfil e pressupostos'!$A$25:$A$28,0))</f>
        <v>0.01</v>
      </c>
      <c r="AH85" s="41" t="n">
        <f aca="false">MIN('Perfil e pressupostos'!$F$29,AG85*('Perfil e pressupostos'!$F$25+'Perfil e pressupostos'!$F$26*AF85/100)*IF(AD85&lt;='Perfil e pressupostos'!$F$28,'Perfil e pressupostos'!$F$27,1))</f>
        <v>0.01264</v>
      </c>
      <c r="AI85" s="35" t="str">
        <f aca="false">IF(AQ85=0,"—",IF(AH85&gt;='Perfil e pressupostos'!$F$30,"Boa",IF(AH85&gt;='Perfil e pressupostos'!$F$31,"Média","Baixa")))</f>
        <v>Baixa</v>
      </c>
      <c r="AJ85" s="7" t="s">
        <v>239</v>
      </c>
      <c r="AK85" s="7" t="s">
        <v>215</v>
      </c>
      <c r="AL85" s="35" t="str">
        <f aca="false">IF(AK85="Prazo expirado","Prazo passado",IF(LEFT(AK85,11)="Monitorizar","Monitorizar",IF(Y85&gt;=3.5,"Prioridade",IF(Y85&gt;=3,"Candidatar (reach)","Reserva"))))</f>
        <v>Prioridade</v>
      </c>
      <c r="AM85" s="7" t="s">
        <v>711</v>
      </c>
      <c r="AN85" s="42" t="s">
        <v>712</v>
      </c>
      <c r="AO85" s="7" t="s">
        <v>187</v>
      </c>
      <c r="AP85" s="7" t="s">
        <v>218</v>
      </c>
      <c r="AQ85" s="7" t="n">
        <f aca="false">IF(OR(AK85="Prazo expirado",LEFT(AK85,11)="Monitorizar"),0,1)</f>
        <v>1</v>
      </c>
      <c r="AR85" s="41" t="n">
        <f aca="false">IF(AQ85=0,0,AH85)</f>
        <v>0.01264</v>
      </c>
      <c r="AS85" s="41" t="n">
        <f aca="false">AR85*W85/5</f>
        <v>0.01264</v>
      </c>
      <c r="AT85" s="43" t="n">
        <f aca="false">AS85+W85/1000000+(1000-ROW())/1000000000</f>
        <v>0.012645915</v>
      </c>
      <c r="AU85" s="35" t="n">
        <f aca="false">RANK(AT85,$AT$4:$AT$227)</f>
        <v>98</v>
      </c>
      <c r="AV85" s="40" t="n">
        <f aca="false">IF(AQ85=0,"",AF85)</f>
        <v>72</v>
      </c>
      <c r="AW85" s="41" t="n">
        <f aca="false">IF(AQ85=0,"",AH85)</f>
        <v>0.01264</v>
      </c>
    </row>
    <row r="86" customFormat="false" ht="45" hidden="false" customHeight="true" outlineLevel="0" collapsed="false">
      <c r="A86" s="35" t="n">
        <v>83</v>
      </c>
      <c r="B86" s="7" t="s">
        <v>713</v>
      </c>
      <c r="C86" s="7" t="s">
        <v>714</v>
      </c>
      <c r="D86" s="7" t="s">
        <v>169</v>
      </c>
      <c r="E86" s="7" t="s">
        <v>230</v>
      </c>
      <c r="F86" s="35" t="s">
        <v>81</v>
      </c>
      <c r="G86" s="7" t="s">
        <v>171</v>
      </c>
      <c r="H86" s="7" t="s">
        <v>172</v>
      </c>
      <c r="I86" s="7" t="s">
        <v>173</v>
      </c>
      <c r="J86" s="35" t="s">
        <v>207</v>
      </c>
      <c r="K86" s="7" t="s">
        <v>544</v>
      </c>
      <c r="L86" s="7" t="s">
        <v>545</v>
      </c>
      <c r="M86" s="7" t="s">
        <v>576</v>
      </c>
      <c r="N86" s="7" t="s">
        <v>215</v>
      </c>
      <c r="O86" s="7" t="s">
        <v>179</v>
      </c>
      <c r="P86" s="35" t="str">
        <f aca="true">IF(ISNUMBER(O86),O86-TODAY(),"")</f>
        <v/>
      </c>
      <c r="Q86" s="7" t="s">
        <v>179</v>
      </c>
      <c r="R86" s="36" t="n">
        <v>2800</v>
      </c>
      <c r="S86" s="36" t="n">
        <v>4000</v>
      </c>
      <c r="T86" s="37" t="n">
        <f aca="false">IF(R86="","",AVERAGE(R86,S86))</f>
        <v>3400</v>
      </c>
      <c r="U86" s="7" t="s">
        <v>547</v>
      </c>
      <c r="V86" s="38" t="s">
        <v>181</v>
      </c>
      <c r="W86" s="38" t="n">
        <v>5</v>
      </c>
      <c r="X86" s="38" t="n">
        <v>1.5</v>
      </c>
      <c r="Y86" s="35" t="n">
        <f aca="false">ROUND(0.6*W86+0.4*X86,1)</f>
        <v>3.6</v>
      </c>
      <c r="Z86" s="38" t="s">
        <v>182</v>
      </c>
      <c r="AA86" s="38" t="n">
        <v>1</v>
      </c>
      <c r="AB86" s="39" t="n">
        <f aca="false">1-AA86*(1-INDEX('Perfil e pressupostos'!$C$14:$C$20,MATCH(Z86,'Perfil e pressupostos'!$A$14:$A$20,0)))</f>
        <v>0.95</v>
      </c>
      <c r="AC86" s="38" t="n">
        <v>0.3</v>
      </c>
      <c r="AD86" s="38" t="n">
        <v>0.5</v>
      </c>
      <c r="AE86" s="38" t="n">
        <v>0.7</v>
      </c>
      <c r="AF86" s="40" t="n">
        <f aca="false">100*('Perfil e pressupostos'!$F$14*AB86+'Perfil e pressupostos'!$F$15*AC86+'Perfil e pressupostos'!$F$16*AD86+'Perfil e pressupostos'!$F$17*AE86)/'Perfil e pressupostos'!$F$18</f>
        <v>60.5</v>
      </c>
      <c r="AG86" s="41" t="n">
        <f aca="false">INDEX('Perfil e pressupostos'!$B$25:$B$28,MATCH(V86,'Perfil e pressupostos'!$A$25:$A$28,0))</f>
        <v>0.01</v>
      </c>
      <c r="AH86" s="41" t="n">
        <f aca="false">MIN('Perfil e pressupostos'!$F$29,AG86*('Perfil e pressupostos'!$F$25+'Perfil e pressupostos'!$F$26*AF86/100)*IF(AD86&lt;='Perfil e pressupostos'!$F$28,'Perfil e pressupostos'!$F$27,1))</f>
        <v>0.01126</v>
      </c>
      <c r="AI86" s="35" t="str">
        <f aca="false">IF(AQ86=0,"—",IF(AH86&gt;='Perfil e pressupostos'!$F$30,"Boa",IF(AH86&gt;='Perfil e pressupostos'!$F$31,"Média","Baixa")))</f>
        <v>Baixa</v>
      </c>
      <c r="AJ86" s="7" t="s">
        <v>412</v>
      </c>
      <c r="AK86" s="7" t="s">
        <v>215</v>
      </c>
      <c r="AL86" s="35" t="str">
        <f aca="false">IF(AK86="Prazo expirado","Prazo passado",IF(LEFT(AK86,11)="Monitorizar","Monitorizar",IF(Y86&gt;=3.5,"Prioridade",IF(Y86&gt;=3,"Candidatar (reach)","Reserva"))))</f>
        <v>Prioridade</v>
      </c>
      <c r="AM86" s="7" t="s">
        <v>548</v>
      </c>
      <c r="AN86" s="42" t="s">
        <v>715</v>
      </c>
      <c r="AO86" s="7" t="s">
        <v>187</v>
      </c>
      <c r="AP86" s="7" t="s">
        <v>218</v>
      </c>
      <c r="AQ86" s="7" t="n">
        <f aca="false">IF(OR(AK86="Prazo expirado",LEFT(AK86,11)="Monitorizar"),0,1)</f>
        <v>1</v>
      </c>
      <c r="AR86" s="41" t="n">
        <f aca="false">IF(AQ86=0,0,AH86)</f>
        <v>0.01126</v>
      </c>
      <c r="AS86" s="41" t="n">
        <f aca="false">AR86*W86/5</f>
        <v>0.01126</v>
      </c>
      <c r="AT86" s="43" t="n">
        <f aca="false">AS86+W86/1000000+(1000-ROW())/1000000000</f>
        <v>0.011265914</v>
      </c>
      <c r="AU86" s="35" t="n">
        <f aca="false">RANK(AT86,$AT$4:$AT$227)</f>
        <v>104</v>
      </c>
      <c r="AV86" s="40" t="n">
        <f aca="false">IF(AQ86=0,"",AF86)</f>
        <v>60.5</v>
      </c>
      <c r="AW86" s="41" t="n">
        <f aca="false">IF(AQ86=0,"",AH86)</f>
        <v>0.01126</v>
      </c>
    </row>
    <row r="87" customFormat="false" ht="33.75" hidden="false" customHeight="true" outlineLevel="0" collapsed="false">
      <c r="A87" s="35" t="n">
        <v>84</v>
      </c>
      <c r="B87" s="7" t="s">
        <v>713</v>
      </c>
      <c r="C87" s="7" t="s">
        <v>716</v>
      </c>
      <c r="D87" s="7" t="s">
        <v>668</v>
      </c>
      <c r="E87" s="7" t="s">
        <v>230</v>
      </c>
      <c r="F87" s="35" t="s">
        <v>85</v>
      </c>
      <c r="G87" s="7" t="s">
        <v>205</v>
      </c>
      <c r="H87" s="7" t="s">
        <v>172</v>
      </c>
      <c r="I87" s="7" t="s">
        <v>173</v>
      </c>
      <c r="J87" s="35" t="s">
        <v>207</v>
      </c>
      <c r="K87" s="7" t="s">
        <v>669</v>
      </c>
      <c r="L87" s="7" t="s">
        <v>670</v>
      </c>
      <c r="M87" s="7" t="s">
        <v>546</v>
      </c>
      <c r="N87" s="7" t="s">
        <v>215</v>
      </c>
      <c r="O87" s="7" t="s">
        <v>179</v>
      </c>
      <c r="P87" s="35" t="str">
        <f aca="true">IF(ISNUMBER(O87),O87-TODAY(),"")</f>
        <v/>
      </c>
      <c r="Q87" s="7" t="s">
        <v>179</v>
      </c>
      <c r="R87" s="36" t="n">
        <v>1500</v>
      </c>
      <c r="S87" s="36" t="n">
        <v>2500</v>
      </c>
      <c r="T87" s="37" t="n">
        <f aca="false">IF(R87="","",AVERAGE(R87,S87))</f>
        <v>2000</v>
      </c>
      <c r="U87" s="7" t="s">
        <v>547</v>
      </c>
      <c r="V87" s="38" t="s">
        <v>199</v>
      </c>
      <c r="W87" s="38" t="n">
        <v>2.5</v>
      </c>
      <c r="X87" s="38" t="n">
        <v>1.4</v>
      </c>
      <c r="Y87" s="35" t="n">
        <f aca="false">ROUND(0.6*W87+0.4*X87,1)</f>
        <v>2.1</v>
      </c>
      <c r="Z87" s="38" t="s">
        <v>213</v>
      </c>
      <c r="AA87" s="38" t="n">
        <v>0.6</v>
      </c>
      <c r="AB87" s="39" t="n">
        <f aca="false">1-AA87*(1-INDEX('Perfil e pressupostos'!$C$14:$C$20,MATCH(Z87,'Perfil e pressupostos'!$A$14:$A$20,0)))</f>
        <v>0.43</v>
      </c>
      <c r="AC87" s="38" t="n">
        <v>0.4</v>
      </c>
      <c r="AD87" s="38" t="n">
        <v>0.5</v>
      </c>
      <c r="AE87" s="38" t="n">
        <v>0.7</v>
      </c>
      <c r="AF87" s="40" t="n">
        <f aca="false">100*('Perfil e pressupostos'!$F$14*AB87+'Perfil e pressupostos'!$F$15*AC87+'Perfil e pressupostos'!$F$16*AD87+'Perfil e pressupostos'!$F$17*AE87)/'Perfil e pressupostos'!$F$18</f>
        <v>47.9</v>
      </c>
      <c r="AG87" s="41" t="n">
        <f aca="false">INDEX('Perfil e pressupostos'!$B$25:$B$28,MATCH(V87,'Perfil e pressupostos'!$A$25:$A$28,0))</f>
        <v>0.03</v>
      </c>
      <c r="AH87" s="41" t="n">
        <f aca="false">MIN('Perfil e pressupostos'!$F$29,AG87*('Perfil e pressupostos'!$F$25+'Perfil e pressupostos'!$F$26*AF87/100)*IF(AD87&lt;='Perfil e pressupostos'!$F$28,'Perfil e pressupostos'!$F$27,1))</f>
        <v>0.029244</v>
      </c>
      <c r="AI87" s="35" t="str">
        <f aca="false">IF(AQ87=0,"—",IF(AH87&gt;='Perfil e pressupostos'!$F$30,"Boa",IF(AH87&gt;='Perfil e pressupostos'!$F$31,"Média","Baixa")))</f>
        <v>Baixa</v>
      </c>
      <c r="AJ87" s="7" t="s">
        <v>214</v>
      </c>
      <c r="AK87" s="7" t="s">
        <v>215</v>
      </c>
      <c r="AL87" s="35" t="str">
        <f aca="false">IF(AK87="Prazo expirado","Prazo passado",IF(LEFT(AK87,11)="Monitorizar","Monitorizar",IF(Y87&gt;=3.5,"Prioridade",IF(Y87&gt;=3,"Candidatar (reach)","Reserva"))))</f>
        <v>Reserva</v>
      </c>
      <c r="AM87" s="7" t="s">
        <v>548</v>
      </c>
      <c r="AN87" s="42" t="s">
        <v>717</v>
      </c>
      <c r="AO87" s="7" t="s">
        <v>187</v>
      </c>
      <c r="AP87" s="7" t="s">
        <v>218</v>
      </c>
      <c r="AQ87" s="7" t="n">
        <f aca="false">IF(OR(AK87="Prazo expirado",LEFT(AK87,11)="Monitorizar"),0,1)</f>
        <v>1</v>
      </c>
      <c r="AR87" s="41" t="n">
        <f aca="false">IF(AQ87=0,0,AH87)</f>
        <v>0.029244</v>
      </c>
      <c r="AS87" s="41" t="n">
        <f aca="false">AR87*W87/5</f>
        <v>0.014622</v>
      </c>
      <c r="AT87" s="43" t="n">
        <f aca="false">AS87+W87/1000000+(1000-ROW())/1000000000</f>
        <v>0.014625413</v>
      </c>
      <c r="AU87" s="35" t="n">
        <f aca="false">RANK(AT87,$AT$4:$AT$227)</f>
        <v>96</v>
      </c>
      <c r="AV87" s="40" t="n">
        <f aca="false">IF(AQ87=0,"",AF87)</f>
        <v>47.9</v>
      </c>
      <c r="AW87" s="41" t="n">
        <f aca="false">IF(AQ87=0,"",AH87)</f>
        <v>0.029244</v>
      </c>
    </row>
    <row r="88" customFormat="false" ht="45" hidden="false" customHeight="true" outlineLevel="0" collapsed="false">
      <c r="A88" s="35" t="n">
        <v>85</v>
      </c>
      <c r="B88" s="7" t="s">
        <v>713</v>
      </c>
      <c r="C88" s="7" t="s">
        <v>718</v>
      </c>
      <c r="D88" s="7" t="s">
        <v>169</v>
      </c>
      <c r="E88" s="7" t="s">
        <v>230</v>
      </c>
      <c r="F88" s="35" t="s">
        <v>85</v>
      </c>
      <c r="G88" s="7" t="s">
        <v>205</v>
      </c>
      <c r="H88" s="7" t="s">
        <v>172</v>
      </c>
      <c r="I88" s="7" t="s">
        <v>206</v>
      </c>
      <c r="J88" s="35" t="s">
        <v>207</v>
      </c>
      <c r="K88" s="7" t="s">
        <v>544</v>
      </c>
      <c r="L88" s="7" t="s">
        <v>545</v>
      </c>
      <c r="M88" s="7" t="s">
        <v>546</v>
      </c>
      <c r="N88" s="7" t="s">
        <v>215</v>
      </c>
      <c r="O88" s="7" t="s">
        <v>179</v>
      </c>
      <c r="P88" s="35" t="str">
        <f aca="true">IF(ISNUMBER(O88),O88-TODAY(),"")</f>
        <v/>
      </c>
      <c r="Q88" s="7" t="s">
        <v>179</v>
      </c>
      <c r="R88" s="36" t="n">
        <v>1500</v>
      </c>
      <c r="S88" s="36" t="n">
        <v>2500</v>
      </c>
      <c r="T88" s="37" t="n">
        <f aca="false">IF(R88="","",AVERAGE(R88,S88))</f>
        <v>2000</v>
      </c>
      <c r="U88" s="7" t="s">
        <v>547</v>
      </c>
      <c r="V88" s="38" t="s">
        <v>181</v>
      </c>
      <c r="W88" s="38" t="n">
        <v>5</v>
      </c>
      <c r="X88" s="38" t="n">
        <v>1.1</v>
      </c>
      <c r="Y88" s="35" t="n">
        <f aca="false">ROUND(0.6*W88+0.4*X88,1)</f>
        <v>3.4</v>
      </c>
      <c r="Z88" s="38" t="s">
        <v>213</v>
      </c>
      <c r="AA88" s="38" t="n">
        <v>0.8</v>
      </c>
      <c r="AB88" s="39" t="n">
        <f aca="false">1-AA88*(1-INDEX('Perfil e pressupostos'!$C$14:$C$20,MATCH(Z88,'Perfil e pressupostos'!$A$14:$A$20,0)))</f>
        <v>0.24</v>
      </c>
      <c r="AC88" s="38" t="n">
        <v>0.3</v>
      </c>
      <c r="AD88" s="38" t="n">
        <v>0.5</v>
      </c>
      <c r="AE88" s="38" t="n">
        <v>0.7</v>
      </c>
      <c r="AF88" s="40" t="n">
        <f aca="false">100*('Perfil e pressupostos'!$F$14*AB88+'Perfil e pressupostos'!$F$15*AC88+'Perfil e pressupostos'!$F$16*AD88+'Perfil e pressupostos'!$F$17*AE88)/'Perfil e pressupostos'!$F$18</f>
        <v>39.2</v>
      </c>
      <c r="AG88" s="41" t="n">
        <f aca="false">INDEX('Perfil e pressupostos'!$B$25:$B$28,MATCH(V88,'Perfil e pressupostos'!$A$25:$A$28,0))</f>
        <v>0.01</v>
      </c>
      <c r="AH88" s="41" t="n">
        <f aca="false">MIN('Perfil e pressupostos'!$F$29,AG88*('Perfil e pressupostos'!$F$25+'Perfil e pressupostos'!$F$26*AF88/100)*IF(AD88&lt;='Perfil e pressupostos'!$F$28,'Perfil e pressupostos'!$F$27,1))</f>
        <v>0.008704</v>
      </c>
      <c r="AI88" s="35" t="str">
        <f aca="false">IF(AQ88=0,"—",IF(AH88&gt;='Perfil e pressupostos'!$F$30,"Boa",IF(AH88&gt;='Perfil e pressupostos'!$F$31,"Média","Baixa")))</f>
        <v>Baixa</v>
      </c>
      <c r="AJ88" s="7" t="s">
        <v>368</v>
      </c>
      <c r="AK88" s="7" t="s">
        <v>215</v>
      </c>
      <c r="AL88" s="35" t="str">
        <f aca="false">IF(AK88="Prazo expirado","Prazo passado",IF(LEFT(AK88,11)="Monitorizar","Monitorizar",IF(Y88&gt;=3.5,"Prioridade",IF(Y88&gt;=3,"Candidatar (reach)","Reserva"))))</f>
        <v>Candidatar (reach)</v>
      </c>
      <c r="AM88" s="7" t="s">
        <v>548</v>
      </c>
      <c r="AN88" s="42" t="s">
        <v>719</v>
      </c>
      <c r="AO88" s="7" t="s">
        <v>187</v>
      </c>
      <c r="AP88" s="7" t="s">
        <v>218</v>
      </c>
      <c r="AQ88" s="7" t="n">
        <f aca="false">IF(OR(AK88="Prazo expirado",LEFT(AK88,11)="Monitorizar"),0,1)</f>
        <v>1</v>
      </c>
      <c r="AR88" s="41" t="n">
        <f aca="false">IF(AQ88=0,0,AH88)</f>
        <v>0.008704</v>
      </c>
      <c r="AS88" s="41" t="n">
        <f aca="false">AR88*W88/5</f>
        <v>0.008704</v>
      </c>
      <c r="AT88" s="43" t="n">
        <f aca="false">AS88+W88/1000000+(1000-ROW())/1000000000</f>
        <v>0.008709912</v>
      </c>
      <c r="AU88" s="35" t="n">
        <f aca="false">RANK(AT88,$AT$4:$AT$227)</f>
        <v>137</v>
      </c>
      <c r="AV88" s="40" t="n">
        <f aca="false">IF(AQ88=0,"",AF88)</f>
        <v>39.2</v>
      </c>
      <c r="AW88" s="41" t="n">
        <f aca="false">IF(AQ88=0,"",AH88)</f>
        <v>0.008704</v>
      </c>
    </row>
    <row r="89" customFormat="false" ht="33.75" hidden="false" customHeight="true" outlineLevel="0" collapsed="false">
      <c r="A89" s="35" t="n">
        <v>86</v>
      </c>
      <c r="B89" s="7" t="s">
        <v>713</v>
      </c>
      <c r="C89" s="7" t="s">
        <v>720</v>
      </c>
      <c r="D89" s="7" t="s">
        <v>282</v>
      </c>
      <c r="E89" s="7" t="s">
        <v>230</v>
      </c>
      <c r="F89" s="35" t="s">
        <v>85</v>
      </c>
      <c r="G89" s="7" t="s">
        <v>205</v>
      </c>
      <c r="H89" s="7" t="s">
        <v>172</v>
      </c>
      <c r="I89" s="7" t="s">
        <v>220</v>
      </c>
      <c r="J89" s="35" t="s">
        <v>207</v>
      </c>
      <c r="K89" s="7" t="s">
        <v>721</v>
      </c>
      <c r="L89" s="7" t="s">
        <v>722</v>
      </c>
      <c r="M89" s="7" t="s">
        <v>546</v>
      </c>
      <c r="N89" s="7" t="s">
        <v>215</v>
      </c>
      <c r="O89" s="7" t="s">
        <v>179</v>
      </c>
      <c r="P89" s="35" t="str">
        <f aca="true">IF(ISNUMBER(O89),O89-TODAY(),"")</f>
        <v/>
      </c>
      <c r="Q89" s="7" t="s">
        <v>179</v>
      </c>
      <c r="R89" s="36" t="n">
        <v>1500</v>
      </c>
      <c r="S89" s="36" t="n">
        <v>2500</v>
      </c>
      <c r="T89" s="37" t="n">
        <f aca="false">IF(R89="","",AVERAGE(R89,S89))</f>
        <v>2000</v>
      </c>
      <c r="U89" s="7" t="s">
        <v>547</v>
      </c>
      <c r="V89" s="38" t="s">
        <v>199</v>
      </c>
      <c r="W89" s="38" t="n">
        <v>4</v>
      </c>
      <c r="X89" s="38" t="n">
        <v>1.2</v>
      </c>
      <c r="Y89" s="35" t="n">
        <f aca="false">ROUND(0.6*W89+0.4*X89,1)</f>
        <v>2.9</v>
      </c>
      <c r="Z89" s="38" t="s">
        <v>213</v>
      </c>
      <c r="AA89" s="38" t="n">
        <v>0.8</v>
      </c>
      <c r="AB89" s="39" t="n">
        <f aca="false">1-AA89*(1-INDEX('Perfil e pressupostos'!$C$14:$C$20,MATCH(Z89,'Perfil e pressupostos'!$A$14:$A$20,0)))</f>
        <v>0.24</v>
      </c>
      <c r="AC89" s="38" t="n">
        <v>0.3</v>
      </c>
      <c r="AD89" s="38" t="n">
        <v>0.5</v>
      </c>
      <c r="AE89" s="38" t="n">
        <v>0.7</v>
      </c>
      <c r="AF89" s="40" t="n">
        <f aca="false">100*('Perfil e pressupostos'!$F$14*AB89+'Perfil e pressupostos'!$F$15*AC89+'Perfil e pressupostos'!$F$16*AD89+'Perfil e pressupostos'!$F$17*AE89)/'Perfil e pressupostos'!$F$18</f>
        <v>39.2</v>
      </c>
      <c r="AG89" s="41" t="n">
        <f aca="false">INDEX('Perfil e pressupostos'!$B$25:$B$28,MATCH(V89,'Perfil e pressupostos'!$A$25:$A$28,0))</f>
        <v>0.03</v>
      </c>
      <c r="AH89" s="41" t="n">
        <f aca="false">MIN('Perfil e pressupostos'!$F$29,AG89*('Perfil e pressupostos'!$F$25+'Perfil e pressupostos'!$F$26*AF89/100)*IF(AD89&lt;='Perfil e pressupostos'!$F$28,'Perfil e pressupostos'!$F$27,1))</f>
        <v>0.026112</v>
      </c>
      <c r="AI89" s="35" t="str">
        <f aca="false">IF(AQ89=0,"—",IF(AH89&gt;='Perfil e pressupostos'!$F$30,"Boa",IF(AH89&gt;='Perfil e pressupostos'!$F$31,"Média","Baixa")))</f>
        <v>Baixa</v>
      </c>
      <c r="AJ89" s="7" t="s">
        <v>368</v>
      </c>
      <c r="AK89" s="7" t="s">
        <v>215</v>
      </c>
      <c r="AL89" s="35" t="str">
        <f aca="false">IF(AK89="Prazo expirado","Prazo passado",IF(LEFT(AK89,11)="Monitorizar","Monitorizar",IF(Y89&gt;=3.5,"Prioridade",IF(Y89&gt;=3,"Candidatar (reach)","Reserva"))))</f>
        <v>Reserva</v>
      </c>
      <c r="AM89" s="7" t="s">
        <v>548</v>
      </c>
      <c r="AN89" s="42" t="s">
        <v>723</v>
      </c>
      <c r="AO89" s="7" t="s">
        <v>187</v>
      </c>
      <c r="AP89" s="7" t="s">
        <v>218</v>
      </c>
      <c r="AQ89" s="7" t="n">
        <f aca="false">IF(OR(AK89="Prazo expirado",LEFT(AK89,11)="Monitorizar"),0,1)</f>
        <v>1</v>
      </c>
      <c r="AR89" s="41" t="n">
        <f aca="false">IF(AQ89=0,0,AH89)</f>
        <v>0.026112</v>
      </c>
      <c r="AS89" s="41" t="n">
        <f aca="false">AR89*W89/5</f>
        <v>0.0208896</v>
      </c>
      <c r="AT89" s="43" t="n">
        <f aca="false">AS89+W89/1000000+(1000-ROW())/1000000000</f>
        <v>0.020894511</v>
      </c>
      <c r="AU89" s="35" t="n">
        <f aca="false">RANK(AT89,$AT$4:$AT$227)</f>
        <v>77</v>
      </c>
      <c r="AV89" s="40" t="n">
        <f aca="false">IF(AQ89=0,"",AF89)</f>
        <v>39.2</v>
      </c>
      <c r="AW89" s="41" t="n">
        <f aca="false">IF(AQ89=0,"",AH89)</f>
        <v>0.026112</v>
      </c>
    </row>
    <row r="90" customFormat="false" ht="33.75" hidden="false" customHeight="true" outlineLevel="0" collapsed="false">
      <c r="A90" s="35" t="n">
        <v>87</v>
      </c>
      <c r="B90" s="7" t="s">
        <v>713</v>
      </c>
      <c r="C90" s="7" t="s">
        <v>724</v>
      </c>
      <c r="D90" s="7" t="s">
        <v>406</v>
      </c>
      <c r="E90" s="7" t="s">
        <v>230</v>
      </c>
      <c r="F90" s="35" t="s">
        <v>97</v>
      </c>
      <c r="G90" s="7" t="s">
        <v>589</v>
      </c>
      <c r="H90" s="7" t="s">
        <v>172</v>
      </c>
      <c r="I90" s="7" t="s">
        <v>173</v>
      </c>
      <c r="J90" s="35" t="s">
        <v>207</v>
      </c>
      <c r="K90" s="7" t="s">
        <v>725</v>
      </c>
      <c r="L90" s="7" t="s">
        <v>726</v>
      </c>
      <c r="M90" s="7" t="s">
        <v>590</v>
      </c>
      <c r="N90" s="7" t="s">
        <v>215</v>
      </c>
      <c r="O90" s="7" t="s">
        <v>179</v>
      </c>
      <c r="P90" s="35" t="str">
        <f aca="true">IF(ISNUMBER(O90),O90-TODAY(),"")</f>
        <v/>
      </c>
      <c r="Q90" s="7" t="s">
        <v>179</v>
      </c>
      <c r="R90" s="36" t="n">
        <v>800</v>
      </c>
      <c r="S90" s="36" t="n">
        <v>1500</v>
      </c>
      <c r="T90" s="37" t="n">
        <f aca="false">IF(R90="","",AVERAGE(R90,S90))</f>
        <v>1150</v>
      </c>
      <c r="U90" s="7" t="s">
        <v>547</v>
      </c>
      <c r="V90" s="38" t="s">
        <v>199</v>
      </c>
      <c r="W90" s="38" t="n">
        <v>4</v>
      </c>
      <c r="X90" s="38" t="n">
        <v>1.4</v>
      </c>
      <c r="Y90" s="35" t="n">
        <f aca="false">ROUND(0.6*W90+0.4*X90,1)</f>
        <v>3</v>
      </c>
      <c r="Z90" s="38" t="s">
        <v>591</v>
      </c>
      <c r="AA90" s="38" t="n">
        <v>0.6</v>
      </c>
      <c r="AB90" s="39" t="n">
        <f aca="false">1-AA90*(1-INDEX('Perfil e pressupostos'!$C$14:$C$20,MATCH(Z90,'Perfil e pressupostos'!$A$14:$A$20,0)))</f>
        <v>0.58</v>
      </c>
      <c r="AC90" s="38" t="n">
        <v>0.3</v>
      </c>
      <c r="AD90" s="38" t="n">
        <v>0.5</v>
      </c>
      <c r="AE90" s="38" t="n">
        <v>0.7</v>
      </c>
      <c r="AF90" s="40" t="n">
        <f aca="false">100*('Perfil e pressupostos'!$F$14*AB90+'Perfil e pressupostos'!$F$15*AC90+'Perfil e pressupostos'!$F$16*AD90+'Perfil e pressupostos'!$F$17*AE90)/'Perfil e pressupostos'!$F$18</f>
        <v>49.4</v>
      </c>
      <c r="AG90" s="41" t="n">
        <f aca="false">INDEX('Perfil e pressupostos'!$B$25:$B$28,MATCH(V90,'Perfil e pressupostos'!$A$25:$A$28,0))</f>
        <v>0.03</v>
      </c>
      <c r="AH90" s="41" t="n">
        <f aca="false">MIN('Perfil e pressupostos'!$F$29,AG90*('Perfil e pressupostos'!$F$25+'Perfil e pressupostos'!$F$26*AF90/100)*IF(AD90&lt;='Perfil e pressupostos'!$F$28,'Perfil e pressupostos'!$F$27,1))</f>
        <v>0.029784</v>
      </c>
      <c r="AI90" s="35" t="str">
        <f aca="false">IF(AQ90=0,"—",IF(AH90&gt;='Perfil e pressupostos'!$F$30,"Boa",IF(AH90&gt;='Perfil e pressupostos'!$F$31,"Média","Baixa")))</f>
        <v>Baixa</v>
      </c>
      <c r="AJ90" s="7" t="s">
        <v>727</v>
      </c>
      <c r="AK90" s="7" t="s">
        <v>215</v>
      </c>
      <c r="AL90" s="35" t="str">
        <f aca="false">IF(AK90="Prazo expirado","Prazo passado",IF(LEFT(AK90,11)="Monitorizar","Monitorizar",IF(Y90&gt;=3.5,"Prioridade",IF(Y90&gt;=3,"Candidatar (reach)","Reserva"))))</f>
        <v>Candidatar (reach)</v>
      </c>
      <c r="AM90" s="7" t="s">
        <v>548</v>
      </c>
      <c r="AN90" s="42" t="s">
        <v>728</v>
      </c>
      <c r="AO90" s="7" t="s">
        <v>187</v>
      </c>
      <c r="AP90" s="7" t="s">
        <v>218</v>
      </c>
      <c r="AQ90" s="7" t="n">
        <f aca="false">IF(OR(AK90="Prazo expirado",LEFT(AK90,11)="Monitorizar"),0,1)</f>
        <v>1</v>
      </c>
      <c r="AR90" s="41" t="n">
        <f aca="false">IF(AQ90=0,0,AH90)</f>
        <v>0.029784</v>
      </c>
      <c r="AS90" s="41" t="n">
        <f aca="false">AR90*W90/5</f>
        <v>0.0238272</v>
      </c>
      <c r="AT90" s="43" t="n">
        <f aca="false">AS90+W90/1000000+(1000-ROW())/1000000000</f>
        <v>0.02383211</v>
      </c>
      <c r="AU90" s="35" t="n">
        <f aca="false">RANK(AT90,$AT$4:$AT$227)</f>
        <v>65</v>
      </c>
      <c r="AV90" s="40" t="n">
        <f aca="false">IF(AQ90=0,"",AF90)</f>
        <v>49.4</v>
      </c>
      <c r="AW90" s="41" t="n">
        <f aca="false">IF(AQ90=0,"",AH90)</f>
        <v>0.029784</v>
      </c>
    </row>
    <row r="91" customFormat="false" ht="45" hidden="false" customHeight="true" outlineLevel="0" collapsed="false">
      <c r="A91" s="35" t="n">
        <v>88</v>
      </c>
      <c r="B91" s="7" t="s">
        <v>481</v>
      </c>
      <c r="C91" s="7" t="s">
        <v>729</v>
      </c>
      <c r="D91" s="7" t="s">
        <v>169</v>
      </c>
      <c r="E91" s="7" t="s">
        <v>230</v>
      </c>
      <c r="F91" s="35" t="s">
        <v>87</v>
      </c>
      <c r="G91" s="7" t="s">
        <v>457</v>
      </c>
      <c r="H91" s="7" t="s">
        <v>172</v>
      </c>
      <c r="I91" s="7" t="s">
        <v>173</v>
      </c>
      <c r="J91" s="35" t="s">
        <v>207</v>
      </c>
      <c r="K91" s="7" t="s">
        <v>544</v>
      </c>
      <c r="L91" s="7" t="s">
        <v>545</v>
      </c>
      <c r="M91" s="7" t="s">
        <v>576</v>
      </c>
      <c r="N91" s="7" t="s">
        <v>215</v>
      </c>
      <c r="O91" s="44" t="n">
        <v>46356</v>
      </c>
      <c r="P91" s="35" t="n">
        <f aca="true">IF(ISNUMBER(O91),O91-TODAY(),"")</f>
        <v>44</v>
      </c>
      <c r="Q91" s="7" t="s">
        <v>179</v>
      </c>
      <c r="R91" s="36" t="n">
        <v>1800</v>
      </c>
      <c r="S91" s="36" t="n">
        <v>2800</v>
      </c>
      <c r="T91" s="37" t="n">
        <f aca="false">IF(R91="","",AVERAGE(R91,S91))</f>
        <v>2300</v>
      </c>
      <c r="U91" s="7" t="s">
        <v>547</v>
      </c>
      <c r="V91" s="38" t="s">
        <v>181</v>
      </c>
      <c r="W91" s="38" t="n">
        <v>5</v>
      </c>
      <c r="X91" s="38" t="n">
        <v>1.3</v>
      </c>
      <c r="Y91" s="35" t="n">
        <f aca="false">ROUND(0.6*W91+0.4*X91,1)</f>
        <v>3.5</v>
      </c>
      <c r="Z91" s="38" t="s">
        <v>304</v>
      </c>
      <c r="AA91" s="38" t="n">
        <v>0.4</v>
      </c>
      <c r="AB91" s="39" t="n">
        <f aca="false">1-AA91*(1-INDEX('Perfil e pressupostos'!$C$14:$C$20,MATCH(Z91,'Perfil e pressupostos'!$A$14:$A$20,0)))</f>
        <v>0.62</v>
      </c>
      <c r="AC91" s="38" t="n">
        <v>0.3</v>
      </c>
      <c r="AD91" s="38" t="n">
        <v>0.5</v>
      </c>
      <c r="AE91" s="38" t="n">
        <v>0.7</v>
      </c>
      <c r="AF91" s="40" t="n">
        <f aca="false">100*('Perfil e pressupostos'!$F$14*AB91+'Perfil e pressupostos'!$F$15*AC91+'Perfil e pressupostos'!$F$16*AD91+'Perfil e pressupostos'!$F$17*AE91)/'Perfil e pressupostos'!$F$18</f>
        <v>50.6</v>
      </c>
      <c r="AG91" s="41" t="n">
        <f aca="false">INDEX('Perfil e pressupostos'!$B$25:$B$28,MATCH(V91,'Perfil e pressupostos'!$A$25:$A$28,0))</f>
        <v>0.01</v>
      </c>
      <c r="AH91" s="41" t="n">
        <f aca="false">MIN('Perfil e pressupostos'!$F$29,AG91*('Perfil e pressupostos'!$F$25+'Perfil e pressupostos'!$F$26*AF91/100)*IF(AD91&lt;='Perfil e pressupostos'!$F$28,'Perfil e pressupostos'!$F$27,1))</f>
        <v>0.010072</v>
      </c>
      <c r="AI91" s="35" t="str">
        <f aca="false">IF(AQ91=0,"—",IF(AH91&gt;='Perfil e pressupostos'!$F$30,"Boa",IF(AH91&gt;='Perfil e pressupostos'!$F$31,"Média","Baixa")))</f>
        <v>Baixa</v>
      </c>
      <c r="AJ91" s="7" t="s">
        <v>596</v>
      </c>
      <c r="AK91" s="7" t="s">
        <v>306</v>
      </c>
      <c r="AL91" s="35" t="str">
        <f aca="false">IF(AK91="Prazo expirado","Prazo passado",IF(LEFT(AK91,11)="Monitorizar","Monitorizar",IF(Y91&gt;=3.5,"Prioridade",IF(Y91&gt;=3,"Candidatar (reach)","Reserva"))))</f>
        <v>Prioridade</v>
      </c>
      <c r="AM91" s="7" t="s">
        <v>548</v>
      </c>
      <c r="AN91" s="42" t="s">
        <v>730</v>
      </c>
      <c r="AO91" s="7" t="s">
        <v>187</v>
      </c>
      <c r="AP91" s="7" t="s">
        <v>218</v>
      </c>
      <c r="AQ91" s="7" t="n">
        <f aca="false">IF(OR(AK91="Prazo expirado",LEFT(AK91,11)="Monitorizar"),0,1)</f>
        <v>1</v>
      </c>
      <c r="AR91" s="41" t="n">
        <f aca="false">IF(AQ91=0,0,AH91)</f>
        <v>0.010072</v>
      </c>
      <c r="AS91" s="41" t="n">
        <f aca="false">AR91*W91/5</f>
        <v>0.010072</v>
      </c>
      <c r="AT91" s="43" t="n">
        <f aca="false">AS91+W91/1000000+(1000-ROW())/1000000000</f>
        <v>0.010077909</v>
      </c>
      <c r="AU91" s="35" t="n">
        <f aca="false">RANK(AT91,$AT$4:$AT$227)</f>
        <v>112</v>
      </c>
      <c r="AV91" s="40" t="n">
        <f aca="false">IF(AQ91=0,"",AF91)</f>
        <v>50.6</v>
      </c>
      <c r="AW91" s="41" t="n">
        <f aca="false">IF(AQ91=0,"",AH91)</f>
        <v>0.010072</v>
      </c>
    </row>
    <row r="92" customFormat="false" ht="45" hidden="false" customHeight="true" outlineLevel="0" collapsed="false">
      <c r="A92" s="35" t="n">
        <v>89</v>
      </c>
      <c r="B92" s="7" t="s">
        <v>731</v>
      </c>
      <c r="C92" s="7" t="s">
        <v>732</v>
      </c>
      <c r="D92" s="7" t="s">
        <v>169</v>
      </c>
      <c r="E92" s="7" t="s">
        <v>230</v>
      </c>
      <c r="F92" s="35" t="s">
        <v>87</v>
      </c>
      <c r="G92" s="7" t="s">
        <v>457</v>
      </c>
      <c r="H92" s="7" t="s">
        <v>172</v>
      </c>
      <c r="I92" s="7" t="s">
        <v>376</v>
      </c>
      <c r="J92" s="35" t="s">
        <v>207</v>
      </c>
      <c r="K92" s="7" t="s">
        <v>544</v>
      </c>
      <c r="L92" s="7" t="s">
        <v>545</v>
      </c>
      <c r="M92" s="7" t="s">
        <v>576</v>
      </c>
      <c r="N92" s="7" t="s">
        <v>215</v>
      </c>
      <c r="O92" s="7" t="s">
        <v>179</v>
      </c>
      <c r="P92" s="35" t="str">
        <f aca="true">IF(ISNUMBER(O92),O92-TODAY(),"")</f>
        <v/>
      </c>
      <c r="Q92" s="7" t="s">
        <v>179</v>
      </c>
      <c r="R92" s="36" t="n">
        <v>1800</v>
      </c>
      <c r="S92" s="36" t="n">
        <v>2800</v>
      </c>
      <c r="T92" s="37" t="n">
        <f aca="false">IF(R92="","",AVERAGE(R92,S92))</f>
        <v>2300</v>
      </c>
      <c r="U92" s="7" t="s">
        <v>547</v>
      </c>
      <c r="V92" s="38" t="s">
        <v>199</v>
      </c>
      <c r="W92" s="38" t="n">
        <v>4</v>
      </c>
      <c r="X92" s="38" t="n">
        <v>1.5</v>
      </c>
      <c r="Y92" s="35" t="n">
        <f aca="false">ROUND(0.6*W92+0.4*X92,1)</f>
        <v>3</v>
      </c>
      <c r="Z92" s="38" t="s">
        <v>304</v>
      </c>
      <c r="AA92" s="38" t="n">
        <v>0.4</v>
      </c>
      <c r="AB92" s="39" t="n">
        <f aca="false">1-AA92*(1-INDEX('Perfil e pressupostos'!$C$14:$C$20,MATCH(Z92,'Perfil e pressupostos'!$A$14:$A$20,0)))</f>
        <v>0.62</v>
      </c>
      <c r="AC92" s="38" t="n">
        <v>0.4</v>
      </c>
      <c r="AD92" s="38" t="n">
        <v>0.5</v>
      </c>
      <c r="AE92" s="38" t="n">
        <v>0.7</v>
      </c>
      <c r="AF92" s="40" t="n">
        <f aca="false">100*('Perfil e pressupostos'!$F$14*AB92+'Perfil e pressupostos'!$F$15*AC92+'Perfil e pressupostos'!$F$16*AD92+'Perfil e pressupostos'!$F$17*AE92)/'Perfil e pressupostos'!$F$18</f>
        <v>53.6</v>
      </c>
      <c r="AG92" s="41" t="n">
        <f aca="false">INDEX('Perfil e pressupostos'!$B$25:$B$28,MATCH(V92,'Perfil e pressupostos'!$A$25:$A$28,0))</f>
        <v>0.03</v>
      </c>
      <c r="AH92" s="41" t="n">
        <f aca="false">MIN('Perfil e pressupostos'!$F$29,AG92*('Perfil e pressupostos'!$F$25+'Perfil e pressupostos'!$F$26*AF92/100)*IF(AD92&lt;='Perfil e pressupostos'!$F$28,'Perfil e pressupostos'!$F$27,1))</f>
        <v>0.031296</v>
      </c>
      <c r="AI92" s="35" t="str">
        <f aca="false">IF(AQ92=0,"—",IF(AH92&gt;='Perfil e pressupostos'!$F$30,"Boa",IF(AH92&gt;='Perfil e pressupostos'!$F$31,"Média","Baixa")))</f>
        <v>Média</v>
      </c>
      <c r="AJ92" s="7" t="s">
        <v>596</v>
      </c>
      <c r="AK92" s="7" t="s">
        <v>215</v>
      </c>
      <c r="AL92" s="35" t="str">
        <f aca="false">IF(AK92="Prazo expirado","Prazo passado",IF(LEFT(AK92,11)="Monitorizar","Monitorizar",IF(Y92&gt;=3.5,"Prioridade",IF(Y92&gt;=3,"Candidatar (reach)","Reserva"))))</f>
        <v>Candidatar (reach)</v>
      </c>
      <c r="AM92" s="7" t="s">
        <v>548</v>
      </c>
      <c r="AN92" s="42" t="s">
        <v>733</v>
      </c>
      <c r="AO92" s="7" t="s">
        <v>187</v>
      </c>
      <c r="AP92" s="7" t="s">
        <v>218</v>
      </c>
      <c r="AQ92" s="7" t="n">
        <f aca="false">IF(OR(AK92="Prazo expirado",LEFT(AK92,11)="Monitorizar"),0,1)</f>
        <v>1</v>
      </c>
      <c r="AR92" s="41" t="n">
        <f aca="false">IF(AQ92=0,0,AH92)</f>
        <v>0.031296</v>
      </c>
      <c r="AS92" s="41" t="n">
        <f aca="false">AR92*W92/5</f>
        <v>0.0250368</v>
      </c>
      <c r="AT92" s="43" t="n">
        <f aca="false">AS92+W92/1000000+(1000-ROW())/1000000000</f>
        <v>0.025041708</v>
      </c>
      <c r="AU92" s="35" t="n">
        <f aca="false">RANK(AT92,$AT$4:$AT$227)</f>
        <v>59</v>
      </c>
      <c r="AV92" s="40" t="n">
        <f aca="false">IF(AQ92=0,"",AF92)</f>
        <v>53.6</v>
      </c>
      <c r="AW92" s="41" t="n">
        <f aca="false">IF(AQ92=0,"",AH92)</f>
        <v>0.031296</v>
      </c>
    </row>
    <row r="93" customFormat="false" ht="45" hidden="false" customHeight="true" outlineLevel="0" collapsed="false">
      <c r="A93" s="35" t="n">
        <v>90</v>
      </c>
      <c r="B93" s="7" t="s">
        <v>272</v>
      </c>
      <c r="C93" s="7" t="s">
        <v>734</v>
      </c>
      <c r="D93" s="7" t="s">
        <v>169</v>
      </c>
      <c r="E93" s="7" t="s">
        <v>230</v>
      </c>
      <c r="F93" s="35" t="s">
        <v>100</v>
      </c>
      <c r="G93" s="7" t="s">
        <v>735</v>
      </c>
      <c r="H93" s="7" t="s">
        <v>172</v>
      </c>
      <c r="I93" s="7" t="s">
        <v>215</v>
      </c>
      <c r="J93" s="35" t="s">
        <v>207</v>
      </c>
      <c r="K93" s="7" t="s">
        <v>544</v>
      </c>
      <c r="L93" s="7" t="s">
        <v>545</v>
      </c>
      <c r="M93" s="7" t="s">
        <v>736</v>
      </c>
      <c r="N93" s="7" t="s">
        <v>215</v>
      </c>
      <c r="O93" s="7" t="s">
        <v>179</v>
      </c>
      <c r="P93" s="35" t="str">
        <f aca="true">IF(ISNUMBER(O93),O93-TODAY(),"")</f>
        <v/>
      </c>
      <c r="Q93" s="7" t="s">
        <v>179</v>
      </c>
      <c r="R93" s="36" t="n">
        <v>1800</v>
      </c>
      <c r="S93" s="36" t="n">
        <v>2500</v>
      </c>
      <c r="T93" s="37" t="n">
        <f aca="false">IF(R93="","",AVERAGE(R93,S93))</f>
        <v>2150</v>
      </c>
      <c r="U93" s="7" t="s">
        <v>547</v>
      </c>
      <c r="V93" s="38" t="s">
        <v>181</v>
      </c>
      <c r="W93" s="38" t="n">
        <v>5</v>
      </c>
      <c r="X93" s="38" t="n">
        <v>1.2</v>
      </c>
      <c r="Y93" s="35" t="n">
        <f aca="false">ROUND(0.6*W93+0.4*X93,1)</f>
        <v>3.5</v>
      </c>
      <c r="Z93" s="38" t="s">
        <v>737</v>
      </c>
      <c r="AA93" s="38" t="n">
        <v>0.6</v>
      </c>
      <c r="AB93" s="39" t="n">
        <f aca="false">1-AA93*(1-INDEX('Perfil e pressupostos'!$C$14:$C$20,MATCH(Z93,'Perfil e pressupostos'!$A$14:$A$20,0)))</f>
        <v>0.4</v>
      </c>
      <c r="AC93" s="38" t="n">
        <v>0.2</v>
      </c>
      <c r="AD93" s="38" t="n">
        <v>0.5</v>
      </c>
      <c r="AE93" s="38" t="n">
        <v>0.7</v>
      </c>
      <c r="AF93" s="40" t="n">
        <f aca="false">100*('Perfil e pressupostos'!$F$14*AB93+'Perfil e pressupostos'!$F$15*AC93+'Perfil e pressupostos'!$F$16*AD93+'Perfil e pressupostos'!$F$17*AE93)/'Perfil e pressupostos'!$F$18</f>
        <v>41</v>
      </c>
      <c r="AG93" s="41" t="n">
        <f aca="false">INDEX('Perfil e pressupostos'!$B$25:$B$28,MATCH(V93,'Perfil e pressupostos'!$A$25:$A$28,0))</f>
        <v>0.01</v>
      </c>
      <c r="AH93" s="41" t="n">
        <f aca="false">MIN('Perfil e pressupostos'!$F$29,AG93*('Perfil e pressupostos'!$F$25+'Perfil e pressupostos'!$F$26*AF93/100)*IF(AD93&lt;='Perfil e pressupostos'!$F$28,'Perfil e pressupostos'!$F$27,1))</f>
        <v>0.00892</v>
      </c>
      <c r="AI93" s="35" t="str">
        <f aca="false">IF(AQ93=0,"—",IF(AH93&gt;='Perfil e pressupostos'!$F$30,"Boa",IF(AH93&gt;='Perfil e pressupostos'!$F$31,"Média","Baixa")))</f>
        <v>Baixa</v>
      </c>
      <c r="AJ93" s="7" t="s">
        <v>738</v>
      </c>
      <c r="AK93" s="7" t="s">
        <v>215</v>
      </c>
      <c r="AL93" s="35" t="str">
        <f aca="false">IF(AK93="Prazo expirado","Prazo passado",IF(LEFT(AK93,11)="Monitorizar","Monitorizar",IF(Y93&gt;=3.5,"Prioridade",IF(Y93&gt;=3,"Candidatar (reach)","Reserva"))))</f>
        <v>Prioridade</v>
      </c>
      <c r="AM93" s="7" t="s">
        <v>548</v>
      </c>
      <c r="AN93" s="42" t="s">
        <v>739</v>
      </c>
      <c r="AO93" s="7" t="s">
        <v>187</v>
      </c>
      <c r="AP93" s="7" t="s">
        <v>218</v>
      </c>
      <c r="AQ93" s="7" t="n">
        <f aca="false">IF(OR(AK93="Prazo expirado",LEFT(AK93,11)="Monitorizar"),0,1)</f>
        <v>1</v>
      </c>
      <c r="AR93" s="41" t="n">
        <f aca="false">IF(AQ93=0,0,AH93)</f>
        <v>0.00892</v>
      </c>
      <c r="AS93" s="41" t="n">
        <f aca="false">AR93*W93/5</f>
        <v>0.00892</v>
      </c>
      <c r="AT93" s="43" t="n">
        <f aca="false">AS93+W93/1000000+(1000-ROW())/1000000000</f>
        <v>0.008925907</v>
      </c>
      <c r="AU93" s="35" t="n">
        <f aca="false">RANK(AT93,$AT$4:$AT$227)</f>
        <v>132</v>
      </c>
      <c r="AV93" s="40" t="n">
        <f aca="false">IF(AQ93=0,"",AF93)</f>
        <v>41</v>
      </c>
      <c r="AW93" s="41" t="n">
        <f aca="false">IF(AQ93=0,"",AH93)</f>
        <v>0.00892</v>
      </c>
    </row>
    <row r="94" customFormat="false" ht="45" hidden="false" customHeight="true" outlineLevel="0" collapsed="false">
      <c r="A94" s="35" t="n">
        <v>91</v>
      </c>
      <c r="B94" s="7" t="s">
        <v>740</v>
      </c>
      <c r="C94" s="7" t="s">
        <v>741</v>
      </c>
      <c r="D94" s="7" t="s">
        <v>169</v>
      </c>
      <c r="E94" s="7" t="s">
        <v>170</v>
      </c>
      <c r="F94" s="35" t="s">
        <v>85</v>
      </c>
      <c r="G94" s="7" t="s">
        <v>205</v>
      </c>
      <c r="H94" s="7" t="s">
        <v>172</v>
      </c>
      <c r="I94" s="7" t="s">
        <v>173</v>
      </c>
      <c r="J94" s="35" t="s">
        <v>207</v>
      </c>
      <c r="K94" s="7" t="s">
        <v>544</v>
      </c>
      <c r="L94" s="7" t="s">
        <v>545</v>
      </c>
      <c r="M94" s="7" t="s">
        <v>546</v>
      </c>
      <c r="N94" s="7" t="s">
        <v>215</v>
      </c>
      <c r="O94" s="7" t="s">
        <v>179</v>
      </c>
      <c r="P94" s="35" t="str">
        <f aca="true">IF(ISNUMBER(O94),O94-TODAY(),"")</f>
        <v/>
      </c>
      <c r="Q94" s="7" t="s">
        <v>179</v>
      </c>
      <c r="R94" s="36" t="n">
        <v>1500</v>
      </c>
      <c r="S94" s="36" t="n">
        <v>2500</v>
      </c>
      <c r="T94" s="37" t="n">
        <f aca="false">IF(R94="","",AVERAGE(R94,S94))</f>
        <v>2000</v>
      </c>
      <c r="U94" s="7" t="s">
        <v>547</v>
      </c>
      <c r="V94" s="38" t="s">
        <v>199</v>
      </c>
      <c r="W94" s="38" t="n">
        <v>4</v>
      </c>
      <c r="X94" s="38" t="n">
        <v>1.2</v>
      </c>
      <c r="Y94" s="35" t="n">
        <f aca="false">ROUND(0.6*W94+0.4*X94,1)</f>
        <v>2.9</v>
      </c>
      <c r="Z94" s="38" t="s">
        <v>213</v>
      </c>
      <c r="AA94" s="38" t="n">
        <v>0.8</v>
      </c>
      <c r="AB94" s="39" t="n">
        <f aca="false">1-AA94*(1-INDEX('Perfil e pressupostos'!$C$14:$C$20,MATCH(Z94,'Perfil e pressupostos'!$A$14:$A$20,0)))</f>
        <v>0.24</v>
      </c>
      <c r="AC94" s="38" t="n">
        <v>0.4</v>
      </c>
      <c r="AD94" s="38" t="n">
        <v>0.4</v>
      </c>
      <c r="AE94" s="38" t="n">
        <v>0.8</v>
      </c>
      <c r="AF94" s="40" t="n">
        <f aca="false">100*('Perfil e pressupostos'!$F$14*AB94+'Perfil e pressupostos'!$F$15*AC94+'Perfil e pressupostos'!$F$16*AD94+'Perfil e pressupostos'!$F$17*AE94)/'Perfil e pressupostos'!$F$18</f>
        <v>41.2</v>
      </c>
      <c r="AG94" s="41" t="n">
        <f aca="false">INDEX('Perfil e pressupostos'!$B$25:$B$28,MATCH(V94,'Perfil e pressupostos'!$A$25:$A$28,0))</f>
        <v>0.03</v>
      </c>
      <c r="AH94" s="41" t="n">
        <f aca="false">MIN('Perfil e pressupostos'!$F$29,AG94*('Perfil e pressupostos'!$F$25+'Perfil e pressupostos'!$F$26*AF94/100)*IF(AD94&lt;='Perfil e pressupostos'!$F$28,'Perfil e pressupostos'!$F$27,1))</f>
        <v>0.026832</v>
      </c>
      <c r="AI94" s="35" t="str">
        <f aca="false">IF(AQ94=0,"—",IF(AH94&gt;='Perfil e pressupostos'!$F$30,"Boa",IF(AH94&gt;='Perfil e pressupostos'!$F$31,"Média","Baixa")))</f>
        <v>Baixa</v>
      </c>
      <c r="AJ94" s="7" t="s">
        <v>368</v>
      </c>
      <c r="AK94" s="7" t="s">
        <v>215</v>
      </c>
      <c r="AL94" s="35" t="str">
        <f aca="false">IF(AK94="Prazo expirado","Prazo passado",IF(LEFT(AK94,11)="Monitorizar","Monitorizar",IF(Y94&gt;=3.5,"Prioridade",IF(Y94&gt;=3,"Candidatar (reach)","Reserva"))))</f>
        <v>Reserva</v>
      </c>
      <c r="AM94" s="7" t="s">
        <v>548</v>
      </c>
      <c r="AN94" s="42" t="s">
        <v>742</v>
      </c>
      <c r="AO94" s="7" t="s">
        <v>361</v>
      </c>
      <c r="AP94" s="7" t="s">
        <v>218</v>
      </c>
      <c r="AQ94" s="7" t="n">
        <f aca="false">IF(OR(AK94="Prazo expirado",LEFT(AK94,11)="Monitorizar"),0,1)</f>
        <v>1</v>
      </c>
      <c r="AR94" s="41" t="n">
        <f aca="false">IF(AQ94=0,0,AH94)</f>
        <v>0.026832</v>
      </c>
      <c r="AS94" s="41" t="n">
        <f aca="false">AR94*W94/5</f>
        <v>0.0214656</v>
      </c>
      <c r="AT94" s="43" t="n">
        <f aca="false">AS94+W94/1000000+(1000-ROW())/1000000000</f>
        <v>0.021470506</v>
      </c>
      <c r="AU94" s="35" t="n">
        <f aca="false">RANK(AT94,$AT$4:$AT$227)</f>
        <v>74</v>
      </c>
      <c r="AV94" s="40" t="n">
        <f aca="false">IF(AQ94=0,"",AF94)</f>
        <v>41.2</v>
      </c>
      <c r="AW94" s="41" t="n">
        <f aca="false">IF(AQ94=0,"",AH94)</f>
        <v>0.026832</v>
      </c>
    </row>
    <row r="95" customFormat="false" ht="45" hidden="false" customHeight="true" outlineLevel="0" collapsed="false">
      <c r="A95" s="35" t="n">
        <v>92</v>
      </c>
      <c r="B95" s="7" t="s">
        <v>743</v>
      </c>
      <c r="C95" s="7" t="s">
        <v>744</v>
      </c>
      <c r="D95" s="7" t="s">
        <v>582</v>
      </c>
      <c r="E95" s="7" t="s">
        <v>170</v>
      </c>
      <c r="F95" s="35" t="s">
        <v>85</v>
      </c>
      <c r="G95" s="7" t="s">
        <v>205</v>
      </c>
      <c r="H95" s="7" t="s">
        <v>172</v>
      </c>
      <c r="I95" s="7" t="s">
        <v>173</v>
      </c>
      <c r="J95" s="35" t="s">
        <v>207</v>
      </c>
      <c r="K95" s="7" t="s">
        <v>583</v>
      </c>
      <c r="L95" s="7" t="s">
        <v>584</v>
      </c>
      <c r="M95" s="7" t="s">
        <v>546</v>
      </c>
      <c r="N95" s="7" t="s">
        <v>215</v>
      </c>
      <c r="O95" s="7" t="s">
        <v>179</v>
      </c>
      <c r="P95" s="35" t="str">
        <f aca="true">IF(ISNUMBER(O95),O95-TODAY(),"")</f>
        <v/>
      </c>
      <c r="Q95" s="7" t="s">
        <v>179</v>
      </c>
      <c r="R95" s="36" t="n">
        <v>1500</v>
      </c>
      <c r="S95" s="36" t="n">
        <v>2500</v>
      </c>
      <c r="T95" s="37" t="n">
        <f aca="false">IF(R95="","",AVERAGE(R95,S95))</f>
        <v>2000</v>
      </c>
      <c r="U95" s="7" t="s">
        <v>547</v>
      </c>
      <c r="V95" s="38" t="s">
        <v>199</v>
      </c>
      <c r="W95" s="38" t="n">
        <v>4</v>
      </c>
      <c r="X95" s="38" t="n">
        <v>1.1</v>
      </c>
      <c r="Y95" s="35" t="n">
        <f aca="false">ROUND(0.6*W95+0.4*X95,1)</f>
        <v>2.8</v>
      </c>
      <c r="Z95" s="38" t="s">
        <v>213</v>
      </c>
      <c r="AA95" s="38" t="n">
        <v>0.9</v>
      </c>
      <c r="AB95" s="39" t="n">
        <f aca="false">1-AA95*(1-INDEX('Perfil e pressupostos'!$C$14:$C$20,MATCH(Z95,'Perfil e pressupostos'!$A$14:$A$20,0)))</f>
        <v>0.145</v>
      </c>
      <c r="AC95" s="38" t="n">
        <v>0.4</v>
      </c>
      <c r="AD95" s="38" t="n">
        <v>0.3</v>
      </c>
      <c r="AE95" s="38" t="n">
        <v>0.7</v>
      </c>
      <c r="AF95" s="40" t="n">
        <f aca="false">100*('Perfil e pressupostos'!$F$14*AB95+'Perfil e pressupostos'!$F$15*AC95+'Perfil e pressupostos'!$F$16*AD95+'Perfil e pressupostos'!$F$17*AE95)/'Perfil e pressupostos'!$F$18</f>
        <v>34.35</v>
      </c>
      <c r="AG95" s="41" t="n">
        <f aca="false">INDEX('Perfil e pressupostos'!$B$25:$B$28,MATCH(V95,'Perfil e pressupostos'!$A$25:$A$28,0))</f>
        <v>0.03</v>
      </c>
      <c r="AH95" s="41" t="n">
        <f aca="false">MIN('Perfil e pressupostos'!$F$29,AG95*('Perfil e pressupostos'!$F$25+'Perfil e pressupostos'!$F$26*AF95/100)*IF(AD95&lt;='Perfil e pressupostos'!$F$28,'Perfil e pressupostos'!$F$27,1))</f>
        <v>0.024366</v>
      </c>
      <c r="AI95" s="35" t="str">
        <f aca="false">IF(AQ95=0,"—",IF(AH95&gt;='Perfil e pressupostos'!$F$30,"Boa",IF(AH95&gt;='Perfil e pressupostos'!$F$31,"Média","Baixa")))</f>
        <v>Baixa</v>
      </c>
      <c r="AJ95" s="7" t="s">
        <v>745</v>
      </c>
      <c r="AK95" s="7" t="s">
        <v>215</v>
      </c>
      <c r="AL95" s="35" t="str">
        <f aca="false">IF(AK95="Prazo expirado","Prazo passado",IF(LEFT(AK95,11)="Monitorizar","Monitorizar",IF(Y95&gt;=3.5,"Prioridade",IF(Y95&gt;=3,"Candidatar (reach)","Reserva"))))</f>
        <v>Reserva</v>
      </c>
      <c r="AM95" s="7" t="s">
        <v>548</v>
      </c>
      <c r="AN95" s="42" t="s">
        <v>746</v>
      </c>
      <c r="AO95" s="7" t="s">
        <v>361</v>
      </c>
      <c r="AP95" s="7" t="s">
        <v>218</v>
      </c>
      <c r="AQ95" s="7" t="n">
        <f aca="false">IF(OR(AK95="Prazo expirado",LEFT(AK95,11)="Monitorizar"),0,1)</f>
        <v>1</v>
      </c>
      <c r="AR95" s="41" t="n">
        <f aca="false">IF(AQ95=0,0,AH95)</f>
        <v>0.024366</v>
      </c>
      <c r="AS95" s="41" t="n">
        <f aca="false">AR95*W95/5</f>
        <v>0.0194928</v>
      </c>
      <c r="AT95" s="43" t="n">
        <f aca="false">AS95+W95/1000000+(1000-ROW())/1000000000</f>
        <v>0.019497705</v>
      </c>
      <c r="AU95" s="35" t="n">
        <f aca="false">RANK(AT95,$AT$4:$AT$227)</f>
        <v>84</v>
      </c>
      <c r="AV95" s="40" t="n">
        <f aca="false">IF(AQ95=0,"",AF95)</f>
        <v>34.35</v>
      </c>
      <c r="AW95" s="41" t="n">
        <f aca="false">IF(AQ95=0,"",AH95)</f>
        <v>0.024366</v>
      </c>
    </row>
    <row r="96" customFormat="false" ht="45" hidden="false" customHeight="true" outlineLevel="0" collapsed="false">
      <c r="A96" s="35" t="n">
        <v>93</v>
      </c>
      <c r="B96" s="7" t="s">
        <v>747</v>
      </c>
      <c r="C96" s="7" t="s">
        <v>748</v>
      </c>
      <c r="D96" s="7" t="s">
        <v>627</v>
      </c>
      <c r="E96" s="7" t="s">
        <v>310</v>
      </c>
      <c r="F96" s="35" t="s">
        <v>87</v>
      </c>
      <c r="G96" s="7" t="s">
        <v>457</v>
      </c>
      <c r="H96" s="7" t="s">
        <v>172</v>
      </c>
      <c r="I96" s="7" t="s">
        <v>465</v>
      </c>
      <c r="J96" s="35" t="s">
        <v>207</v>
      </c>
      <c r="K96" s="7" t="s">
        <v>628</v>
      </c>
      <c r="L96" s="7" t="s">
        <v>629</v>
      </c>
      <c r="M96" s="7" t="s">
        <v>576</v>
      </c>
      <c r="N96" s="7" t="s">
        <v>215</v>
      </c>
      <c r="O96" s="7" t="s">
        <v>179</v>
      </c>
      <c r="P96" s="35" t="str">
        <f aca="true">IF(ISNUMBER(O96),O96-TODAY(),"")</f>
        <v/>
      </c>
      <c r="Q96" s="7" t="s">
        <v>179</v>
      </c>
      <c r="R96" s="36" t="n">
        <v>1800</v>
      </c>
      <c r="S96" s="36" t="n">
        <v>2800</v>
      </c>
      <c r="T96" s="37" t="n">
        <f aca="false">IF(R96="","",AVERAGE(R96,S96))</f>
        <v>2300</v>
      </c>
      <c r="U96" s="7" t="s">
        <v>547</v>
      </c>
      <c r="V96" s="38" t="s">
        <v>181</v>
      </c>
      <c r="W96" s="38" t="n">
        <v>3</v>
      </c>
      <c r="X96" s="38" t="n">
        <v>1.3</v>
      </c>
      <c r="Y96" s="35" t="n">
        <f aca="false">ROUND(0.6*W96+0.4*X96,1)</f>
        <v>2.3</v>
      </c>
      <c r="Z96" s="38" t="s">
        <v>304</v>
      </c>
      <c r="AA96" s="38" t="n">
        <v>0.4</v>
      </c>
      <c r="AB96" s="39" t="n">
        <f aca="false">1-AA96*(1-INDEX('Perfil e pressupostos'!$C$14:$C$20,MATCH(Z96,'Perfil e pressupostos'!$A$14:$A$20,0)))</f>
        <v>0.62</v>
      </c>
      <c r="AC96" s="38" t="n">
        <v>0.3</v>
      </c>
      <c r="AD96" s="38" t="n">
        <v>0.5</v>
      </c>
      <c r="AE96" s="38" t="n">
        <v>0.7</v>
      </c>
      <c r="AF96" s="40" t="n">
        <f aca="false">100*('Perfil e pressupostos'!$F$14*AB96+'Perfil e pressupostos'!$F$15*AC96+'Perfil e pressupostos'!$F$16*AD96+'Perfil e pressupostos'!$F$17*AE96)/'Perfil e pressupostos'!$F$18</f>
        <v>50.6</v>
      </c>
      <c r="AG96" s="41" t="n">
        <f aca="false">INDEX('Perfil e pressupostos'!$B$25:$B$28,MATCH(V96,'Perfil e pressupostos'!$A$25:$A$28,0))</f>
        <v>0.01</v>
      </c>
      <c r="AH96" s="41" t="n">
        <f aca="false">MIN('Perfil e pressupostos'!$F$29,AG96*('Perfil e pressupostos'!$F$25+'Perfil e pressupostos'!$F$26*AF96/100)*IF(AD96&lt;='Perfil e pressupostos'!$F$28,'Perfil e pressupostos'!$F$27,1))</f>
        <v>0.010072</v>
      </c>
      <c r="AI96" s="35" t="str">
        <f aca="false">IF(AQ96=0,"—",IF(AH96&gt;='Perfil e pressupostos'!$F$30,"Boa",IF(AH96&gt;='Perfil e pressupostos'!$F$31,"Média","Baixa")))</f>
        <v>Baixa</v>
      </c>
      <c r="AJ96" s="7" t="s">
        <v>596</v>
      </c>
      <c r="AK96" s="7" t="s">
        <v>215</v>
      </c>
      <c r="AL96" s="35" t="str">
        <f aca="false">IF(AK96="Prazo expirado","Prazo passado",IF(LEFT(AK96,11)="Monitorizar","Monitorizar",IF(Y96&gt;=3.5,"Prioridade",IF(Y96&gt;=3,"Candidatar (reach)","Reserva"))))</f>
        <v>Reserva</v>
      </c>
      <c r="AM96" s="7" t="s">
        <v>548</v>
      </c>
      <c r="AN96" s="42" t="s">
        <v>749</v>
      </c>
      <c r="AO96" s="7" t="s">
        <v>187</v>
      </c>
      <c r="AP96" s="7" t="s">
        <v>218</v>
      </c>
      <c r="AQ96" s="7" t="n">
        <f aca="false">IF(OR(AK96="Prazo expirado",LEFT(AK96,11)="Monitorizar"),0,1)</f>
        <v>1</v>
      </c>
      <c r="AR96" s="41" t="n">
        <f aca="false">IF(AQ96=0,0,AH96)</f>
        <v>0.010072</v>
      </c>
      <c r="AS96" s="41" t="n">
        <f aca="false">AR96*W96/5</f>
        <v>0.0060432</v>
      </c>
      <c r="AT96" s="43" t="n">
        <f aca="false">AS96+W96/1000000+(1000-ROW())/1000000000</f>
        <v>0.006047104</v>
      </c>
      <c r="AU96" s="35" t="n">
        <f aca="false">RANK(AT96,$AT$4:$AT$227)</f>
        <v>187</v>
      </c>
      <c r="AV96" s="40" t="n">
        <f aca="false">IF(AQ96=0,"",AF96)</f>
        <v>50.6</v>
      </c>
      <c r="AW96" s="41" t="n">
        <f aca="false">IF(AQ96=0,"",AH96)</f>
        <v>0.010072</v>
      </c>
    </row>
    <row r="97" customFormat="false" ht="45" hidden="false" customHeight="true" outlineLevel="0" collapsed="false">
      <c r="A97" s="35" t="n">
        <v>94</v>
      </c>
      <c r="B97" s="7" t="s">
        <v>747</v>
      </c>
      <c r="C97" s="7" t="s">
        <v>750</v>
      </c>
      <c r="D97" s="7" t="s">
        <v>627</v>
      </c>
      <c r="E97" s="7" t="s">
        <v>310</v>
      </c>
      <c r="F97" s="35" t="s">
        <v>97</v>
      </c>
      <c r="G97" s="7" t="s">
        <v>589</v>
      </c>
      <c r="H97" s="7" t="s">
        <v>172</v>
      </c>
      <c r="I97" s="7" t="s">
        <v>465</v>
      </c>
      <c r="J97" s="35" t="s">
        <v>207</v>
      </c>
      <c r="K97" s="7" t="s">
        <v>628</v>
      </c>
      <c r="L97" s="7" t="s">
        <v>629</v>
      </c>
      <c r="M97" s="7" t="s">
        <v>590</v>
      </c>
      <c r="N97" s="7" t="s">
        <v>215</v>
      </c>
      <c r="O97" s="7" t="s">
        <v>179</v>
      </c>
      <c r="P97" s="35" t="str">
        <f aca="true">IF(ISNUMBER(O97),O97-TODAY(),"")</f>
        <v/>
      </c>
      <c r="Q97" s="7" t="s">
        <v>179</v>
      </c>
      <c r="R97" s="36" t="n">
        <v>800</v>
      </c>
      <c r="S97" s="36" t="n">
        <v>1500</v>
      </c>
      <c r="T97" s="37" t="n">
        <f aca="false">IF(R97="","",AVERAGE(R97,S97))</f>
        <v>1150</v>
      </c>
      <c r="U97" s="7" t="s">
        <v>547</v>
      </c>
      <c r="V97" s="38" t="s">
        <v>181</v>
      </c>
      <c r="W97" s="38" t="n">
        <v>3</v>
      </c>
      <c r="X97" s="38" t="n">
        <v>1.3</v>
      </c>
      <c r="Y97" s="35" t="n">
        <f aca="false">ROUND(0.6*W97+0.4*X97,1)</f>
        <v>2.3</v>
      </c>
      <c r="Z97" s="38" t="s">
        <v>591</v>
      </c>
      <c r="AA97" s="38" t="n">
        <v>0.6</v>
      </c>
      <c r="AB97" s="39" t="n">
        <f aca="false">1-AA97*(1-INDEX('Perfil e pressupostos'!$C$14:$C$20,MATCH(Z97,'Perfil e pressupostos'!$A$14:$A$20,0)))</f>
        <v>0.58</v>
      </c>
      <c r="AC97" s="38" t="n">
        <v>0.3</v>
      </c>
      <c r="AD97" s="38" t="n">
        <v>0.5</v>
      </c>
      <c r="AE97" s="38" t="n">
        <v>0.7</v>
      </c>
      <c r="AF97" s="40" t="n">
        <f aca="false">100*('Perfil e pressupostos'!$F$14*AB97+'Perfil e pressupostos'!$F$15*AC97+'Perfil e pressupostos'!$F$16*AD97+'Perfil e pressupostos'!$F$17*AE97)/'Perfil e pressupostos'!$F$18</f>
        <v>49.4</v>
      </c>
      <c r="AG97" s="41" t="n">
        <f aca="false">INDEX('Perfil e pressupostos'!$B$25:$B$28,MATCH(V97,'Perfil e pressupostos'!$A$25:$A$28,0))</f>
        <v>0.01</v>
      </c>
      <c r="AH97" s="41" t="n">
        <f aca="false">MIN('Perfil e pressupostos'!$F$29,AG97*('Perfil e pressupostos'!$F$25+'Perfil e pressupostos'!$F$26*AF97/100)*IF(AD97&lt;='Perfil e pressupostos'!$F$28,'Perfil e pressupostos'!$F$27,1))</f>
        <v>0.009928</v>
      </c>
      <c r="AI97" s="35" t="str">
        <f aca="false">IF(AQ97=0,"—",IF(AH97&gt;='Perfil e pressupostos'!$F$30,"Boa",IF(AH97&gt;='Perfil e pressupostos'!$F$31,"Média","Baixa")))</f>
        <v>Baixa</v>
      </c>
      <c r="AJ97" s="7" t="s">
        <v>727</v>
      </c>
      <c r="AK97" s="7" t="s">
        <v>215</v>
      </c>
      <c r="AL97" s="35" t="str">
        <f aca="false">IF(AK97="Prazo expirado","Prazo passado",IF(LEFT(AK97,11)="Monitorizar","Monitorizar",IF(Y97&gt;=3.5,"Prioridade",IF(Y97&gt;=3,"Candidatar (reach)","Reserva"))))</f>
        <v>Reserva</v>
      </c>
      <c r="AM97" s="7" t="s">
        <v>548</v>
      </c>
      <c r="AN97" s="42" t="s">
        <v>751</v>
      </c>
      <c r="AO97" s="7" t="s">
        <v>187</v>
      </c>
      <c r="AP97" s="7" t="s">
        <v>218</v>
      </c>
      <c r="AQ97" s="7" t="n">
        <f aca="false">IF(OR(AK97="Prazo expirado",LEFT(AK97,11)="Monitorizar"),0,1)</f>
        <v>1</v>
      </c>
      <c r="AR97" s="41" t="n">
        <f aca="false">IF(AQ97=0,0,AH97)</f>
        <v>0.009928</v>
      </c>
      <c r="AS97" s="41" t="n">
        <f aca="false">AR97*W97/5</f>
        <v>0.0059568</v>
      </c>
      <c r="AT97" s="43" t="n">
        <f aca="false">AS97+W97/1000000+(1000-ROW())/1000000000</f>
        <v>0.005960703</v>
      </c>
      <c r="AU97" s="35" t="n">
        <f aca="false">RANK(AT97,$AT$4:$AT$227)</f>
        <v>188</v>
      </c>
      <c r="AV97" s="40" t="n">
        <f aca="false">IF(AQ97=0,"",AF97)</f>
        <v>49.4</v>
      </c>
      <c r="AW97" s="41" t="n">
        <f aca="false">IF(AQ97=0,"",AH97)</f>
        <v>0.009928</v>
      </c>
    </row>
    <row r="98" customFormat="false" ht="45" hidden="false" customHeight="true" outlineLevel="0" collapsed="false">
      <c r="A98" s="35" t="n">
        <v>95</v>
      </c>
      <c r="B98" s="7" t="s">
        <v>747</v>
      </c>
      <c r="C98" s="7" t="s">
        <v>752</v>
      </c>
      <c r="D98" s="7" t="s">
        <v>627</v>
      </c>
      <c r="E98" s="7" t="s">
        <v>310</v>
      </c>
      <c r="F98" s="35" t="s">
        <v>85</v>
      </c>
      <c r="G98" s="7" t="s">
        <v>205</v>
      </c>
      <c r="H98" s="7" t="s">
        <v>172</v>
      </c>
      <c r="I98" s="7" t="s">
        <v>465</v>
      </c>
      <c r="J98" s="35" t="s">
        <v>207</v>
      </c>
      <c r="K98" s="7" t="s">
        <v>628</v>
      </c>
      <c r="L98" s="7" t="s">
        <v>629</v>
      </c>
      <c r="M98" s="7" t="s">
        <v>546</v>
      </c>
      <c r="N98" s="7" t="s">
        <v>215</v>
      </c>
      <c r="O98" s="7" t="s">
        <v>179</v>
      </c>
      <c r="P98" s="35" t="str">
        <f aca="true">IF(ISNUMBER(O98),O98-TODAY(),"")</f>
        <v/>
      </c>
      <c r="Q98" s="7" t="s">
        <v>179</v>
      </c>
      <c r="R98" s="36" t="n">
        <v>1500</v>
      </c>
      <c r="S98" s="36" t="n">
        <v>2500</v>
      </c>
      <c r="T98" s="37" t="n">
        <f aca="false">IF(R98="","",AVERAGE(R98,S98))</f>
        <v>2000</v>
      </c>
      <c r="U98" s="7" t="s">
        <v>547</v>
      </c>
      <c r="V98" s="38" t="s">
        <v>181</v>
      </c>
      <c r="W98" s="38" t="n">
        <v>3</v>
      </c>
      <c r="X98" s="38" t="n">
        <v>1.2</v>
      </c>
      <c r="Y98" s="35" t="n">
        <f aca="false">ROUND(0.6*W98+0.4*X98,1)</f>
        <v>2.3</v>
      </c>
      <c r="Z98" s="38" t="s">
        <v>213</v>
      </c>
      <c r="AA98" s="38" t="n">
        <v>0.6</v>
      </c>
      <c r="AB98" s="39" t="n">
        <f aca="false">1-AA98*(1-INDEX('Perfil e pressupostos'!$C$14:$C$20,MATCH(Z98,'Perfil e pressupostos'!$A$14:$A$20,0)))</f>
        <v>0.43</v>
      </c>
      <c r="AC98" s="38" t="n">
        <v>0.3</v>
      </c>
      <c r="AD98" s="38" t="n">
        <v>0.5</v>
      </c>
      <c r="AE98" s="38" t="n">
        <v>0.7</v>
      </c>
      <c r="AF98" s="40" t="n">
        <f aca="false">100*('Perfil e pressupostos'!$F$14*AB98+'Perfil e pressupostos'!$F$15*AC98+'Perfil e pressupostos'!$F$16*AD98+'Perfil e pressupostos'!$F$17*AE98)/'Perfil e pressupostos'!$F$18</f>
        <v>44.9</v>
      </c>
      <c r="AG98" s="41" t="n">
        <f aca="false">INDEX('Perfil e pressupostos'!$B$25:$B$28,MATCH(V98,'Perfil e pressupostos'!$A$25:$A$28,0))</f>
        <v>0.01</v>
      </c>
      <c r="AH98" s="41" t="n">
        <f aca="false">MIN('Perfil e pressupostos'!$F$29,AG98*('Perfil e pressupostos'!$F$25+'Perfil e pressupostos'!$F$26*AF98/100)*IF(AD98&lt;='Perfil e pressupostos'!$F$28,'Perfil e pressupostos'!$F$27,1))</f>
        <v>0.009388</v>
      </c>
      <c r="AI98" s="35" t="str">
        <f aca="false">IF(AQ98=0,"—",IF(AH98&gt;='Perfil e pressupostos'!$F$30,"Boa",IF(AH98&gt;='Perfil e pressupostos'!$F$31,"Média","Baixa")))</f>
        <v>Baixa</v>
      </c>
      <c r="AJ98" s="7" t="s">
        <v>214</v>
      </c>
      <c r="AK98" s="7" t="s">
        <v>215</v>
      </c>
      <c r="AL98" s="35" t="str">
        <f aca="false">IF(AK98="Prazo expirado","Prazo passado",IF(LEFT(AK98,11)="Monitorizar","Monitorizar",IF(Y98&gt;=3.5,"Prioridade",IF(Y98&gt;=3,"Candidatar (reach)","Reserva"))))</f>
        <v>Reserva</v>
      </c>
      <c r="AM98" s="7" t="s">
        <v>548</v>
      </c>
      <c r="AN98" s="42" t="s">
        <v>753</v>
      </c>
      <c r="AO98" s="7" t="s">
        <v>187</v>
      </c>
      <c r="AP98" s="7" t="s">
        <v>218</v>
      </c>
      <c r="AQ98" s="7" t="n">
        <f aca="false">IF(OR(AK98="Prazo expirado",LEFT(AK98,11)="Monitorizar"),0,1)</f>
        <v>1</v>
      </c>
      <c r="AR98" s="41" t="n">
        <f aca="false">IF(AQ98=0,0,AH98)</f>
        <v>0.009388</v>
      </c>
      <c r="AS98" s="41" t="n">
        <f aca="false">AR98*W98/5</f>
        <v>0.0056328</v>
      </c>
      <c r="AT98" s="43" t="n">
        <f aca="false">AS98+W98/1000000+(1000-ROW())/1000000000</f>
        <v>0.005636702</v>
      </c>
      <c r="AU98" s="35" t="n">
        <f aca="false">RANK(AT98,$AT$4:$AT$227)</f>
        <v>197</v>
      </c>
      <c r="AV98" s="40" t="n">
        <f aca="false">IF(AQ98=0,"",AF98)</f>
        <v>44.9</v>
      </c>
      <c r="AW98" s="41" t="n">
        <f aca="false">IF(AQ98=0,"",AH98)</f>
        <v>0.009388</v>
      </c>
    </row>
    <row r="99" customFormat="false" ht="45" hidden="false" customHeight="true" outlineLevel="0" collapsed="false">
      <c r="A99" s="35" t="n">
        <v>96</v>
      </c>
      <c r="B99" s="7" t="s">
        <v>747</v>
      </c>
      <c r="C99" s="7" t="s">
        <v>754</v>
      </c>
      <c r="D99" s="7" t="s">
        <v>627</v>
      </c>
      <c r="E99" s="7" t="s">
        <v>310</v>
      </c>
      <c r="F99" s="35" t="s">
        <v>93</v>
      </c>
      <c r="G99" s="7" t="s">
        <v>476</v>
      </c>
      <c r="H99" s="7" t="s">
        <v>172</v>
      </c>
      <c r="I99" s="7" t="s">
        <v>465</v>
      </c>
      <c r="J99" s="35" t="s">
        <v>207</v>
      </c>
      <c r="K99" s="7" t="s">
        <v>628</v>
      </c>
      <c r="L99" s="7" t="s">
        <v>629</v>
      </c>
      <c r="M99" s="7" t="s">
        <v>576</v>
      </c>
      <c r="N99" s="7" t="s">
        <v>215</v>
      </c>
      <c r="O99" s="7" t="s">
        <v>179</v>
      </c>
      <c r="P99" s="35" t="str">
        <f aca="true">IF(ISNUMBER(O99),O99-TODAY(),"")</f>
        <v/>
      </c>
      <c r="Q99" s="7" t="s">
        <v>179</v>
      </c>
      <c r="R99" s="36" t="n">
        <v>2000</v>
      </c>
      <c r="S99" s="36" t="n">
        <v>3000</v>
      </c>
      <c r="T99" s="37" t="n">
        <f aca="false">IF(R99="","",AVERAGE(R99,S99))</f>
        <v>2500</v>
      </c>
      <c r="U99" s="7" t="s">
        <v>547</v>
      </c>
      <c r="V99" s="38" t="s">
        <v>181</v>
      </c>
      <c r="W99" s="38" t="n">
        <v>3</v>
      </c>
      <c r="X99" s="38" t="n">
        <v>1.5</v>
      </c>
      <c r="Y99" s="35" t="n">
        <f aca="false">ROUND(0.6*W99+0.4*X99,1)</f>
        <v>2.4</v>
      </c>
      <c r="Z99" s="38" t="s">
        <v>182</v>
      </c>
      <c r="AA99" s="38" t="n">
        <v>1</v>
      </c>
      <c r="AB99" s="39" t="n">
        <f aca="false">1-AA99*(1-INDEX('Perfil e pressupostos'!$C$14:$C$20,MATCH(Z99,'Perfil e pressupostos'!$A$14:$A$20,0)))</f>
        <v>0.95</v>
      </c>
      <c r="AC99" s="38" t="n">
        <v>0.3</v>
      </c>
      <c r="AD99" s="38" t="n">
        <v>0.5</v>
      </c>
      <c r="AE99" s="38" t="n">
        <v>0.7</v>
      </c>
      <c r="AF99" s="40" t="n">
        <f aca="false">100*('Perfil e pressupostos'!$F$14*AB99+'Perfil e pressupostos'!$F$15*AC99+'Perfil e pressupostos'!$F$16*AD99+'Perfil e pressupostos'!$F$17*AE99)/'Perfil e pressupostos'!$F$18</f>
        <v>60.5</v>
      </c>
      <c r="AG99" s="41" t="n">
        <f aca="false">INDEX('Perfil e pressupostos'!$B$25:$B$28,MATCH(V99,'Perfil e pressupostos'!$A$25:$A$28,0))</f>
        <v>0.01</v>
      </c>
      <c r="AH99" s="41" t="n">
        <f aca="false">MIN('Perfil e pressupostos'!$F$29,AG99*('Perfil e pressupostos'!$F$25+'Perfil e pressupostos'!$F$26*AF99/100)*IF(AD99&lt;='Perfil e pressupostos'!$F$28,'Perfil e pressupostos'!$F$27,1))</f>
        <v>0.01126</v>
      </c>
      <c r="AI99" s="35" t="str">
        <f aca="false">IF(AQ99=0,"—",IF(AH99&gt;='Perfil e pressupostos'!$F$30,"Boa",IF(AH99&gt;='Perfil e pressupostos'!$F$31,"Média","Baixa")))</f>
        <v>Baixa</v>
      </c>
      <c r="AJ99" s="7" t="s">
        <v>412</v>
      </c>
      <c r="AK99" s="7" t="s">
        <v>215</v>
      </c>
      <c r="AL99" s="35" t="str">
        <f aca="false">IF(AK99="Prazo expirado","Prazo passado",IF(LEFT(AK99,11)="Monitorizar","Monitorizar",IF(Y99&gt;=3.5,"Prioridade",IF(Y99&gt;=3,"Candidatar (reach)","Reserva"))))</f>
        <v>Reserva</v>
      </c>
      <c r="AM99" s="7" t="s">
        <v>548</v>
      </c>
      <c r="AN99" s="42" t="s">
        <v>755</v>
      </c>
      <c r="AO99" s="7" t="s">
        <v>187</v>
      </c>
      <c r="AP99" s="7" t="s">
        <v>218</v>
      </c>
      <c r="AQ99" s="7" t="n">
        <f aca="false">IF(OR(AK99="Prazo expirado",LEFT(AK99,11)="Monitorizar"),0,1)</f>
        <v>1</v>
      </c>
      <c r="AR99" s="41" t="n">
        <f aca="false">IF(AQ99=0,0,AH99)</f>
        <v>0.01126</v>
      </c>
      <c r="AS99" s="41" t="n">
        <f aca="false">AR99*W99/5</f>
        <v>0.006756</v>
      </c>
      <c r="AT99" s="43" t="n">
        <f aca="false">AS99+W99/1000000+(1000-ROW())/1000000000</f>
        <v>0.006759901</v>
      </c>
      <c r="AU99" s="35" t="n">
        <f aca="false">RANK(AT99,$AT$4:$AT$227)</f>
        <v>180</v>
      </c>
      <c r="AV99" s="40" t="n">
        <f aca="false">IF(AQ99=0,"",AF99)</f>
        <v>60.5</v>
      </c>
      <c r="AW99" s="41" t="n">
        <f aca="false">IF(AQ99=0,"",AH99)</f>
        <v>0.01126</v>
      </c>
    </row>
    <row r="100" customFormat="false" ht="45" hidden="false" customHeight="true" outlineLevel="0" collapsed="false">
      <c r="A100" s="35" t="n">
        <v>97</v>
      </c>
      <c r="B100" s="7" t="s">
        <v>747</v>
      </c>
      <c r="C100" s="7" t="s">
        <v>756</v>
      </c>
      <c r="D100" s="7" t="s">
        <v>191</v>
      </c>
      <c r="E100" s="7" t="s">
        <v>310</v>
      </c>
      <c r="F100" s="35" t="s">
        <v>85</v>
      </c>
      <c r="G100" s="7" t="s">
        <v>205</v>
      </c>
      <c r="H100" s="7" t="s">
        <v>172</v>
      </c>
      <c r="I100" s="7" t="s">
        <v>465</v>
      </c>
      <c r="J100" s="35" t="s">
        <v>207</v>
      </c>
      <c r="K100" s="7" t="s">
        <v>612</v>
      </c>
      <c r="L100" s="7" t="s">
        <v>613</v>
      </c>
      <c r="M100" s="7" t="s">
        <v>546</v>
      </c>
      <c r="N100" s="7" t="s">
        <v>215</v>
      </c>
      <c r="O100" s="7" t="s">
        <v>179</v>
      </c>
      <c r="P100" s="35" t="str">
        <f aca="true">IF(ISNUMBER(O100),O100-TODAY(),"")</f>
        <v/>
      </c>
      <c r="Q100" s="7" t="s">
        <v>179</v>
      </c>
      <c r="R100" s="36" t="n">
        <v>1500</v>
      </c>
      <c r="S100" s="36" t="n">
        <v>2500</v>
      </c>
      <c r="T100" s="37" t="n">
        <f aca="false">IF(R100="","",AVERAGE(R100,S100))</f>
        <v>2000</v>
      </c>
      <c r="U100" s="7" t="s">
        <v>547</v>
      </c>
      <c r="V100" s="38" t="s">
        <v>181</v>
      </c>
      <c r="W100" s="38" t="n">
        <v>4</v>
      </c>
      <c r="X100" s="38" t="n">
        <v>1.2</v>
      </c>
      <c r="Y100" s="35" t="n">
        <f aca="false">ROUND(0.6*W100+0.4*X100,1)</f>
        <v>2.9</v>
      </c>
      <c r="Z100" s="38" t="s">
        <v>213</v>
      </c>
      <c r="AA100" s="38" t="n">
        <v>0.6</v>
      </c>
      <c r="AB100" s="39" t="n">
        <f aca="false">1-AA100*(1-INDEX('Perfil e pressupostos'!$C$14:$C$20,MATCH(Z100,'Perfil e pressupostos'!$A$14:$A$20,0)))</f>
        <v>0.43</v>
      </c>
      <c r="AC100" s="38" t="n">
        <v>0.3</v>
      </c>
      <c r="AD100" s="38" t="n">
        <v>0.5</v>
      </c>
      <c r="AE100" s="38" t="n">
        <v>0.7</v>
      </c>
      <c r="AF100" s="40" t="n">
        <f aca="false">100*('Perfil e pressupostos'!$F$14*AB100+'Perfil e pressupostos'!$F$15*AC100+'Perfil e pressupostos'!$F$16*AD100+'Perfil e pressupostos'!$F$17*AE100)/'Perfil e pressupostos'!$F$18</f>
        <v>44.9</v>
      </c>
      <c r="AG100" s="41" t="n">
        <f aca="false">INDEX('Perfil e pressupostos'!$B$25:$B$28,MATCH(V100,'Perfil e pressupostos'!$A$25:$A$28,0))</f>
        <v>0.01</v>
      </c>
      <c r="AH100" s="41" t="n">
        <f aca="false">MIN('Perfil e pressupostos'!$F$29,AG100*('Perfil e pressupostos'!$F$25+'Perfil e pressupostos'!$F$26*AF100/100)*IF(AD100&lt;='Perfil e pressupostos'!$F$28,'Perfil e pressupostos'!$F$27,1))</f>
        <v>0.009388</v>
      </c>
      <c r="AI100" s="35" t="str">
        <f aca="false">IF(AQ100=0,"—",IF(AH100&gt;='Perfil e pressupostos'!$F$30,"Boa",IF(AH100&gt;='Perfil e pressupostos'!$F$31,"Média","Baixa")))</f>
        <v>Baixa</v>
      </c>
      <c r="AJ100" s="7" t="s">
        <v>214</v>
      </c>
      <c r="AK100" s="7" t="s">
        <v>215</v>
      </c>
      <c r="AL100" s="35" t="str">
        <f aca="false">IF(AK100="Prazo expirado","Prazo passado",IF(LEFT(AK100,11)="Monitorizar","Monitorizar",IF(Y100&gt;=3.5,"Prioridade",IF(Y100&gt;=3,"Candidatar (reach)","Reserva"))))</f>
        <v>Reserva</v>
      </c>
      <c r="AM100" s="7" t="s">
        <v>548</v>
      </c>
      <c r="AN100" s="42" t="s">
        <v>757</v>
      </c>
      <c r="AO100" s="7" t="s">
        <v>187</v>
      </c>
      <c r="AP100" s="7" t="s">
        <v>218</v>
      </c>
      <c r="AQ100" s="7" t="n">
        <f aca="false">IF(OR(AK100="Prazo expirado",LEFT(AK100,11)="Monitorizar"),0,1)</f>
        <v>1</v>
      </c>
      <c r="AR100" s="41" t="n">
        <f aca="false">IF(AQ100=0,0,AH100)</f>
        <v>0.009388</v>
      </c>
      <c r="AS100" s="41" t="n">
        <f aca="false">AR100*W100/5</f>
        <v>0.0075104</v>
      </c>
      <c r="AT100" s="43" t="n">
        <f aca="false">AS100+W100/1000000+(1000-ROW())/1000000000</f>
        <v>0.0075153</v>
      </c>
      <c r="AU100" s="35" t="n">
        <f aca="false">RANK(AT100,$AT$4:$AT$227)</f>
        <v>173</v>
      </c>
      <c r="AV100" s="40" t="n">
        <f aca="false">IF(AQ100=0,"",AF100)</f>
        <v>44.9</v>
      </c>
      <c r="AW100" s="41" t="n">
        <f aca="false">IF(AQ100=0,"",AH100)</f>
        <v>0.009388</v>
      </c>
    </row>
    <row r="101" customFormat="false" ht="45" hidden="false" customHeight="true" outlineLevel="0" collapsed="false">
      <c r="A101" s="35" t="n">
        <v>98</v>
      </c>
      <c r="B101" s="7" t="s">
        <v>747</v>
      </c>
      <c r="C101" s="7" t="s">
        <v>758</v>
      </c>
      <c r="D101" s="7" t="s">
        <v>191</v>
      </c>
      <c r="E101" s="7" t="s">
        <v>310</v>
      </c>
      <c r="F101" s="35" t="s">
        <v>87</v>
      </c>
      <c r="G101" s="7" t="s">
        <v>457</v>
      </c>
      <c r="H101" s="7" t="s">
        <v>172</v>
      </c>
      <c r="I101" s="7" t="s">
        <v>465</v>
      </c>
      <c r="J101" s="35" t="s">
        <v>207</v>
      </c>
      <c r="K101" s="7" t="s">
        <v>612</v>
      </c>
      <c r="L101" s="7" t="s">
        <v>613</v>
      </c>
      <c r="M101" s="7" t="s">
        <v>576</v>
      </c>
      <c r="N101" s="7" t="s">
        <v>215</v>
      </c>
      <c r="O101" s="7" t="s">
        <v>179</v>
      </c>
      <c r="P101" s="35" t="str">
        <f aca="true">IF(ISNUMBER(O101),O101-TODAY(),"")</f>
        <v/>
      </c>
      <c r="Q101" s="7" t="s">
        <v>179</v>
      </c>
      <c r="R101" s="36" t="n">
        <v>1800</v>
      </c>
      <c r="S101" s="36" t="n">
        <v>2800</v>
      </c>
      <c r="T101" s="37" t="n">
        <f aca="false">IF(R101="","",AVERAGE(R101,S101))</f>
        <v>2300</v>
      </c>
      <c r="U101" s="7" t="s">
        <v>547</v>
      </c>
      <c r="V101" s="38" t="s">
        <v>181</v>
      </c>
      <c r="W101" s="38" t="n">
        <v>4</v>
      </c>
      <c r="X101" s="38" t="n">
        <v>1.3</v>
      </c>
      <c r="Y101" s="35" t="n">
        <f aca="false">ROUND(0.6*W101+0.4*X101,1)</f>
        <v>2.9</v>
      </c>
      <c r="Z101" s="38" t="s">
        <v>304</v>
      </c>
      <c r="AA101" s="38" t="n">
        <v>0.4</v>
      </c>
      <c r="AB101" s="39" t="n">
        <f aca="false">1-AA101*(1-INDEX('Perfil e pressupostos'!$C$14:$C$20,MATCH(Z101,'Perfil e pressupostos'!$A$14:$A$20,0)))</f>
        <v>0.62</v>
      </c>
      <c r="AC101" s="38" t="n">
        <v>0.3</v>
      </c>
      <c r="AD101" s="38" t="n">
        <v>0.5</v>
      </c>
      <c r="AE101" s="38" t="n">
        <v>0.7</v>
      </c>
      <c r="AF101" s="40" t="n">
        <f aca="false">100*('Perfil e pressupostos'!$F$14*AB101+'Perfil e pressupostos'!$F$15*AC101+'Perfil e pressupostos'!$F$16*AD101+'Perfil e pressupostos'!$F$17*AE101)/'Perfil e pressupostos'!$F$18</f>
        <v>50.6</v>
      </c>
      <c r="AG101" s="41" t="n">
        <f aca="false">INDEX('Perfil e pressupostos'!$B$25:$B$28,MATCH(V101,'Perfil e pressupostos'!$A$25:$A$28,0))</f>
        <v>0.01</v>
      </c>
      <c r="AH101" s="41" t="n">
        <f aca="false">MIN('Perfil e pressupostos'!$F$29,AG101*('Perfil e pressupostos'!$F$25+'Perfil e pressupostos'!$F$26*AF101/100)*IF(AD101&lt;='Perfil e pressupostos'!$F$28,'Perfil e pressupostos'!$F$27,1))</f>
        <v>0.010072</v>
      </c>
      <c r="AI101" s="35" t="str">
        <f aca="false">IF(AQ101=0,"—",IF(AH101&gt;='Perfil e pressupostos'!$F$30,"Boa",IF(AH101&gt;='Perfil e pressupostos'!$F$31,"Média","Baixa")))</f>
        <v>Baixa</v>
      </c>
      <c r="AJ101" s="7" t="s">
        <v>596</v>
      </c>
      <c r="AK101" s="7" t="s">
        <v>215</v>
      </c>
      <c r="AL101" s="35" t="str">
        <f aca="false">IF(AK101="Prazo expirado","Prazo passado",IF(LEFT(AK101,11)="Monitorizar","Monitorizar",IF(Y101&gt;=3.5,"Prioridade",IF(Y101&gt;=3,"Candidatar (reach)","Reserva"))))</f>
        <v>Reserva</v>
      </c>
      <c r="AM101" s="7" t="s">
        <v>548</v>
      </c>
      <c r="AN101" s="42" t="s">
        <v>759</v>
      </c>
      <c r="AO101" s="7" t="s">
        <v>187</v>
      </c>
      <c r="AP101" s="7" t="s">
        <v>218</v>
      </c>
      <c r="AQ101" s="7" t="n">
        <f aca="false">IF(OR(AK101="Prazo expirado",LEFT(AK101,11)="Monitorizar"),0,1)</f>
        <v>1</v>
      </c>
      <c r="AR101" s="41" t="n">
        <f aca="false">IF(AQ101=0,0,AH101)</f>
        <v>0.010072</v>
      </c>
      <c r="AS101" s="41" t="n">
        <f aca="false">AR101*W101/5</f>
        <v>0.0080576</v>
      </c>
      <c r="AT101" s="43" t="n">
        <f aca="false">AS101+W101/1000000+(1000-ROW())/1000000000</f>
        <v>0.008062499</v>
      </c>
      <c r="AU101" s="35" t="n">
        <f aca="false">RANK(AT101,$AT$4:$AT$227)</f>
        <v>144</v>
      </c>
      <c r="AV101" s="40" t="n">
        <f aca="false">IF(AQ101=0,"",AF101)</f>
        <v>50.6</v>
      </c>
      <c r="AW101" s="41" t="n">
        <f aca="false">IF(AQ101=0,"",AH101)</f>
        <v>0.010072</v>
      </c>
    </row>
    <row r="102" customFormat="false" ht="45" hidden="false" customHeight="true" outlineLevel="0" collapsed="false">
      <c r="A102" s="35" t="n">
        <v>99</v>
      </c>
      <c r="B102" s="7" t="s">
        <v>747</v>
      </c>
      <c r="C102" s="7" t="s">
        <v>760</v>
      </c>
      <c r="D102" s="7" t="s">
        <v>191</v>
      </c>
      <c r="E102" s="7" t="s">
        <v>310</v>
      </c>
      <c r="F102" s="35" t="s">
        <v>100</v>
      </c>
      <c r="G102" s="7" t="s">
        <v>735</v>
      </c>
      <c r="H102" s="7" t="s">
        <v>172</v>
      </c>
      <c r="I102" s="7" t="s">
        <v>465</v>
      </c>
      <c r="J102" s="35" t="s">
        <v>207</v>
      </c>
      <c r="K102" s="7" t="s">
        <v>612</v>
      </c>
      <c r="L102" s="7" t="s">
        <v>613</v>
      </c>
      <c r="M102" s="7" t="s">
        <v>576</v>
      </c>
      <c r="N102" s="7" t="s">
        <v>215</v>
      </c>
      <c r="O102" s="7" t="s">
        <v>179</v>
      </c>
      <c r="P102" s="35" t="str">
        <f aca="true">IF(ISNUMBER(O102),O102-TODAY(),"")</f>
        <v/>
      </c>
      <c r="Q102" s="7" t="s">
        <v>179</v>
      </c>
      <c r="R102" s="36" t="n">
        <v>1800</v>
      </c>
      <c r="S102" s="36" t="n">
        <v>2500</v>
      </c>
      <c r="T102" s="37" t="n">
        <f aca="false">IF(R102="","",AVERAGE(R102,S102))</f>
        <v>2150</v>
      </c>
      <c r="U102" s="7" t="s">
        <v>547</v>
      </c>
      <c r="V102" s="38" t="s">
        <v>181</v>
      </c>
      <c r="W102" s="38" t="n">
        <v>4</v>
      </c>
      <c r="X102" s="38" t="n">
        <v>1.3</v>
      </c>
      <c r="Y102" s="35" t="n">
        <f aca="false">ROUND(0.6*W102+0.4*X102,1)</f>
        <v>2.9</v>
      </c>
      <c r="Z102" s="38" t="s">
        <v>737</v>
      </c>
      <c r="AA102" s="38" t="n">
        <v>0.4</v>
      </c>
      <c r="AB102" s="39" t="n">
        <f aca="false">1-AA102*(1-INDEX('Perfil e pressupostos'!$C$14:$C$20,MATCH(Z102,'Perfil e pressupostos'!$A$14:$A$20,0)))</f>
        <v>0.6</v>
      </c>
      <c r="AC102" s="38" t="n">
        <v>0.3</v>
      </c>
      <c r="AD102" s="38" t="n">
        <v>0.5</v>
      </c>
      <c r="AE102" s="38" t="n">
        <v>0.7</v>
      </c>
      <c r="AF102" s="40" t="n">
        <f aca="false">100*('Perfil e pressupostos'!$F$14*AB102+'Perfil e pressupostos'!$F$15*AC102+'Perfil e pressupostos'!$F$16*AD102+'Perfil e pressupostos'!$F$17*AE102)/'Perfil e pressupostos'!$F$18</f>
        <v>50</v>
      </c>
      <c r="AG102" s="41" t="n">
        <f aca="false">INDEX('Perfil e pressupostos'!$B$25:$B$28,MATCH(V102,'Perfil e pressupostos'!$A$25:$A$28,0))</f>
        <v>0.01</v>
      </c>
      <c r="AH102" s="41" t="n">
        <f aca="false">MIN('Perfil e pressupostos'!$F$29,AG102*('Perfil e pressupostos'!$F$25+'Perfil e pressupostos'!$F$26*AF102/100)*IF(AD102&lt;='Perfil e pressupostos'!$F$28,'Perfil e pressupostos'!$F$27,1))</f>
        <v>0.01</v>
      </c>
      <c r="AI102" s="35" t="str">
        <f aca="false">IF(AQ102=0,"—",IF(AH102&gt;='Perfil e pressupostos'!$F$30,"Boa",IF(AH102&gt;='Perfil e pressupostos'!$F$31,"Média","Baixa")))</f>
        <v>Baixa</v>
      </c>
      <c r="AJ102" s="7" t="s">
        <v>761</v>
      </c>
      <c r="AK102" s="7" t="s">
        <v>215</v>
      </c>
      <c r="AL102" s="35" t="str">
        <f aca="false">IF(AK102="Prazo expirado","Prazo passado",IF(LEFT(AK102,11)="Monitorizar","Monitorizar",IF(Y102&gt;=3.5,"Prioridade",IF(Y102&gt;=3,"Candidatar (reach)","Reserva"))))</f>
        <v>Reserva</v>
      </c>
      <c r="AM102" s="7" t="s">
        <v>548</v>
      </c>
      <c r="AN102" s="42" t="s">
        <v>762</v>
      </c>
      <c r="AO102" s="7" t="s">
        <v>187</v>
      </c>
      <c r="AP102" s="7" t="s">
        <v>218</v>
      </c>
      <c r="AQ102" s="7" t="n">
        <f aca="false">IF(OR(AK102="Prazo expirado",LEFT(AK102,11)="Monitorizar"),0,1)</f>
        <v>1</v>
      </c>
      <c r="AR102" s="41" t="n">
        <f aca="false">IF(AQ102=0,0,AH102)</f>
        <v>0.01</v>
      </c>
      <c r="AS102" s="41" t="n">
        <f aca="false">AR102*W102/5</f>
        <v>0.008</v>
      </c>
      <c r="AT102" s="43" t="n">
        <f aca="false">AS102+W102/1000000+(1000-ROW())/1000000000</f>
        <v>0.008004898</v>
      </c>
      <c r="AU102" s="35" t="n">
        <f aca="false">RANK(AT102,$AT$4:$AT$227)</f>
        <v>148</v>
      </c>
      <c r="AV102" s="40" t="n">
        <f aca="false">IF(AQ102=0,"",AF102)</f>
        <v>50</v>
      </c>
      <c r="AW102" s="41" t="n">
        <f aca="false">IF(AQ102=0,"",AH102)</f>
        <v>0.01</v>
      </c>
    </row>
    <row r="103" customFormat="false" ht="57" hidden="false" customHeight="true" outlineLevel="0" collapsed="false">
      <c r="A103" s="35" t="n">
        <v>100</v>
      </c>
      <c r="B103" s="7" t="s">
        <v>747</v>
      </c>
      <c r="C103" s="7" t="s">
        <v>763</v>
      </c>
      <c r="D103" s="7" t="s">
        <v>764</v>
      </c>
      <c r="E103" s="7" t="s">
        <v>310</v>
      </c>
      <c r="F103" s="35" t="s">
        <v>87</v>
      </c>
      <c r="G103" s="7" t="s">
        <v>457</v>
      </c>
      <c r="H103" s="7" t="s">
        <v>172</v>
      </c>
      <c r="I103" s="7" t="s">
        <v>465</v>
      </c>
      <c r="J103" s="35" t="s">
        <v>207</v>
      </c>
      <c r="K103" s="7" t="s">
        <v>765</v>
      </c>
      <c r="L103" s="7" t="s">
        <v>766</v>
      </c>
      <c r="M103" s="7" t="s">
        <v>576</v>
      </c>
      <c r="N103" s="7" t="s">
        <v>215</v>
      </c>
      <c r="O103" s="7" t="s">
        <v>179</v>
      </c>
      <c r="P103" s="35" t="str">
        <f aca="true">IF(ISNUMBER(O103),O103-TODAY(),"")</f>
        <v/>
      </c>
      <c r="Q103" s="7" t="s">
        <v>179</v>
      </c>
      <c r="R103" s="36" t="n">
        <v>1800</v>
      </c>
      <c r="S103" s="36" t="n">
        <v>2800</v>
      </c>
      <c r="T103" s="37" t="n">
        <f aca="false">IF(R103="","",AVERAGE(R103,S103))</f>
        <v>2300</v>
      </c>
      <c r="U103" s="7" t="s">
        <v>547</v>
      </c>
      <c r="V103" s="38" t="s">
        <v>199</v>
      </c>
      <c r="W103" s="38" t="n">
        <v>3</v>
      </c>
      <c r="X103" s="38" t="n">
        <v>1.5</v>
      </c>
      <c r="Y103" s="35" t="n">
        <f aca="false">ROUND(0.6*W103+0.4*X103,1)</f>
        <v>2.4</v>
      </c>
      <c r="Z103" s="38" t="s">
        <v>304</v>
      </c>
      <c r="AA103" s="38" t="n">
        <v>0.4</v>
      </c>
      <c r="AB103" s="39" t="n">
        <f aca="false">1-AA103*(1-INDEX('Perfil e pressupostos'!$C$14:$C$20,MATCH(Z103,'Perfil e pressupostos'!$A$14:$A$20,0)))</f>
        <v>0.62</v>
      </c>
      <c r="AC103" s="38" t="n">
        <v>0.4</v>
      </c>
      <c r="AD103" s="38" t="n">
        <v>0.5</v>
      </c>
      <c r="AE103" s="38" t="n">
        <v>0.7</v>
      </c>
      <c r="AF103" s="40" t="n">
        <f aca="false">100*('Perfil e pressupostos'!$F$14*AB103+'Perfil e pressupostos'!$F$15*AC103+'Perfil e pressupostos'!$F$16*AD103+'Perfil e pressupostos'!$F$17*AE103)/'Perfil e pressupostos'!$F$18</f>
        <v>53.6</v>
      </c>
      <c r="AG103" s="41" t="n">
        <f aca="false">INDEX('Perfil e pressupostos'!$B$25:$B$28,MATCH(V103,'Perfil e pressupostos'!$A$25:$A$28,0))</f>
        <v>0.03</v>
      </c>
      <c r="AH103" s="41" t="n">
        <f aca="false">MIN('Perfil e pressupostos'!$F$29,AG103*('Perfil e pressupostos'!$F$25+'Perfil e pressupostos'!$F$26*AF103/100)*IF(AD103&lt;='Perfil e pressupostos'!$F$28,'Perfil e pressupostos'!$F$27,1))</f>
        <v>0.031296</v>
      </c>
      <c r="AI103" s="35" t="str">
        <f aca="false">IF(AQ103=0,"—",IF(AH103&gt;='Perfil e pressupostos'!$F$30,"Boa",IF(AH103&gt;='Perfil e pressupostos'!$F$31,"Média","Baixa")))</f>
        <v>Média</v>
      </c>
      <c r="AJ103" s="7" t="s">
        <v>596</v>
      </c>
      <c r="AK103" s="7" t="s">
        <v>215</v>
      </c>
      <c r="AL103" s="35" t="str">
        <f aca="false">IF(AK103="Prazo expirado","Prazo passado",IF(LEFT(AK103,11)="Monitorizar","Monitorizar",IF(Y103&gt;=3.5,"Prioridade",IF(Y103&gt;=3,"Candidatar (reach)","Reserva"))))</f>
        <v>Reserva</v>
      </c>
      <c r="AM103" s="7" t="s">
        <v>548</v>
      </c>
      <c r="AN103" s="42" t="s">
        <v>767</v>
      </c>
      <c r="AO103" s="7" t="s">
        <v>187</v>
      </c>
      <c r="AP103" s="7" t="s">
        <v>218</v>
      </c>
      <c r="AQ103" s="7" t="n">
        <f aca="false">IF(OR(AK103="Prazo expirado",LEFT(AK103,11)="Monitorizar"),0,1)</f>
        <v>1</v>
      </c>
      <c r="AR103" s="41" t="n">
        <f aca="false">IF(AQ103=0,0,AH103)</f>
        <v>0.031296</v>
      </c>
      <c r="AS103" s="41" t="n">
        <f aca="false">AR103*W103/5</f>
        <v>0.0187776</v>
      </c>
      <c r="AT103" s="43" t="n">
        <f aca="false">AS103+W103/1000000+(1000-ROW())/1000000000</f>
        <v>0.018781497</v>
      </c>
      <c r="AU103" s="35" t="n">
        <f aca="false">RANK(AT103,$AT$4:$AT$227)</f>
        <v>85</v>
      </c>
      <c r="AV103" s="40" t="n">
        <f aca="false">IF(AQ103=0,"",AF103)</f>
        <v>53.6</v>
      </c>
      <c r="AW103" s="41" t="n">
        <f aca="false">IF(AQ103=0,"",AH103)</f>
        <v>0.031296</v>
      </c>
    </row>
    <row r="104" customFormat="false" ht="45" hidden="false" customHeight="true" outlineLevel="0" collapsed="false">
      <c r="A104" s="35" t="n">
        <v>101</v>
      </c>
      <c r="B104" s="7" t="s">
        <v>747</v>
      </c>
      <c r="C104" s="7" t="s">
        <v>768</v>
      </c>
      <c r="D104" s="7" t="s">
        <v>769</v>
      </c>
      <c r="E104" s="7" t="s">
        <v>310</v>
      </c>
      <c r="F104" s="35" t="s">
        <v>85</v>
      </c>
      <c r="G104" s="7" t="s">
        <v>205</v>
      </c>
      <c r="H104" s="7" t="s">
        <v>172</v>
      </c>
      <c r="I104" s="7" t="s">
        <v>465</v>
      </c>
      <c r="J104" s="35" t="s">
        <v>207</v>
      </c>
      <c r="K104" s="7" t="s">
        <v>770</v>
      </c>
      <c r="L104" s="7" t="s">
        <v>771</v>
      </c>
      <c r="M104" s="7" t="s">
        <v>546</v>
      </c>
      <c r="N104" s="7" t="s">
        <v>215</v>
      </c>
      <c r="O104" s="7" t="s">
        <v>179</v>
      </c>
      <c r="P104" s="35" t="str">
        <f aca="true">IF(ISNUMBER(O104),O104-TODAY(),"")</f>
        <v/>
      </c>
      <c r="Q104" s="7" t="s">
        <v>179</v>
      </c>
      <c r="R104" s="36" t="n">
        <v>1500</v>
      </c>
      <c r="S104" s="36" t="n">
        <v>2500</v>
      </c>
      <c r="T104" s="37" t="n">
        <f aca="false">IF(R104="","",AVERAGE(R104,S104))</f>
        <v>2000</v>
      </c>
      <c r="U104" s="7" t="s">
        <v>547</v>
      </c>
      <c r="V104" s="38" t="s">
        <v>181</v>
      </c>
      <c r="W104" s="38" t="n">
        <v>3</v>
      </c>
      <c r="X104" s="38" t="n">
        <v>1.2</v>
      </c>
      <c r="Y104" s="35" t="n">
        <f aca="false">ROUND(0.6*W104+0.4*X104,1)</f>
        <v>2.3</v>
      </c>
      <c r="Z104" s="38" t="s">
        <v>213</v>
      </c>
      <c r="AA104" s="38" t="n">
        <v>0.5</v>
      </c>
      <c r="AB104" s="39" t="n">
        <f aca="false">1-AA104*(1-INDEX('Perfil e pressupostos'!$C$14:$C$20,MATCH(Z104,'Perfil e pressupostos'!$A$14:$A$20,0)))</f>
        <v>0.525</v>
      </c>
      <c r="AC104" s="38" t="n">
        <v>0.2</v>
      </c>
      <c r="AD104" s="38" t="n">
        <v>0.5</v>
      </c>
      <c r="AE104" s="38" t="n">
        <v>0.85</v>
      </c>
      <c r="AF104" s="40" t="n">
        <f aca="false">100*('Perfil e pressupostos'!$F$14*AB104+'Perfil e pressupostos'!$F$15*AC104+'Perfil e pressupostos'!$F$16*AD104+'Perfil e pressupostos'!$F$17*AE104)/'Perfil e pressupostos'!$F$18</f>
        <v>47</v>
      </c>
      <c r="AG104" s="41" t="n">
        <f aca="false">INDEX('Perfil e pressupostos'!$B$25:$B$28,MATCH(V104,'Perfil e pressupostos'!$A$25:$A$28,0))</f>
        <v>0.01</v>
      </c>
      <c r="AH104" s="41" t="n">
        <f aca="false">MIN('Perfil e pressupostos'!$F$29,AG104*('Perfil e pressupostos'!$F$25+'Perfil e pressupostos'!$F$26*AF104/100)*IF(AD104&lt;='Perfil e pressupostos'!$F$28,'Perfil e pressupostos'!$F$27,1))</f>
        <v>0.00964</v>
      </c>
      <c r="AI104" s="35" t="str">
        <f aca="false">IF(AQ104=0,"—",IF(AH104&gt;='Perfil e pressupostos'!$F$30,"Boa",IF(AH104&gt;='Perfil e pressupostos'!$F$31,"Média","Baixa")))</f>
        <v>Baixa</v>
      </c>
      <c r="AJ104" s="7" t="s">
        <v>772</v>
      </c>
      <c r="AK104" s="7" t="s">
        <v>215</v>
      </c>
      <c r="AL104" s="35" t="str">
        <f aca="false">IF(AK104="Prazo expirado","Prazo passado",IF(LEFT(AK104,11)="Monitorizar","Monitorizar",IF(Y104&gt;=3.5,"Prioridade",IF(Y104&gt;=3,"Candidatar (reach)","Reserva"))))</f>
        <v>Reserva</v>
      </c>
      <c r="AM104" s="7" t="s">
        <v>548</v>
      </c>
      <c r="AN104" s="42" t="s">
        <v>773</v>
      </c>
      <c r="AO104" s="7" t="s">
        <v>187</v>
      </c>
      <c r="AP104" s="7" t="s">
        <v>218</v>
      </c>
      <c r="AQ104" s="7" t="n">
        <f aca="false">IF(OR(AK104="Prazo expirado",LEFT(AK104,11)="Monitorizar"),0,1)</f>
        <v>1</v>
      </c>
      <c r="AR104" s="41" t="n">
        <f aca="false">IF(AQ104=0,0,AH104)</f>
        <v>0.00964</v>
      </c>
      <c r="AS104" s="41" t="n">
        <f aca="false">AR104*W104/5</f>
        <v>0.005784</v>
      </c>
      <c r="AT104" s="43" t="n">
        <f aca="false">AS104+W104/1000000+(1000-ROW())/1000000000</f>
        <v>0.005787896</v>
      </c>
      <c r="AU104" s="35" t="n">
        <f aca="false">RANK(AT104,$AT$4:$AT$227)</f>
        <v>193</v>
      </c>
      <c r="AV104" s="40" t="n">
        <f aca="false">IF(AQ104=0,"",AF104)</f>
        <v>47</v>
      </c>
      <c r="AW104" s="41" t="n">
        <f aca="false">IF(AQ104=0,"",AH104)</f>
        <v>0.00964</v>
      </c>
    </row>
    <row r="105" customFormat="false" ht="45" hidden="false" customHeight="true" outlineLevel="0" collapsed="false">
      <c r="A105" s="35" t="n">
        <v>102</v>
      </c>
      <c r="B105" s="7" t="s">
        <v>774</v>
      </c>
      <c r="C105" s="7" t="s">
        <v>775</v>
      </c>
      <c r="D105" s="7" t="s">
        <v>191</v>
      </c>
      <c r="E105" s="7" t="s">
        <v>170</v>
      </c>
      <c r="F105" s="35" t="s">
        <v>81</v>
      </c>
      <c r="G105" s="7" t="s">
        <v>171</v>
      </c>
      <c r="H105" s="7" t="s">
        <v>172</v>
      </c>
      <c r="I105" s="7" t="s">
        <v>215</v>
      </c>
      <c r="J105" s="35" t="s">
        <v>207</v>
      </c>
      <c r="K105" s="7" t="s">
        <v>612</v>
      </c>
      <c r="L105" s="7" t="s">
        <v>613</v>
      </c>
      <c r="M105" s="7" t="s">
        <v>576</v>
      </c>
      <c r="N105" s="7" t="s">
        <v>215</v>
      </c>
      <c r="O105" s="7" t="s">
        <v>179</v>
      </c>
      <c r="P105" s="35" t="str">
        <f aca="true">IF(ISNUMBER(O105),O105-TODAY(),"")</f>
        <v/>
      </c>
      <c r="Q105" s="7" t="s">
        <v>179</v>
      </c>
      <c r="R105" s="36" t="n">
        <v>2800</v>
      </c>
      <c r="S105" s="36" t="n">
        <v>4000</v>
      </c>
      <c r="T105" s="37" t="n">
        <f aca="false">IF(R105="","",AVERAGE(R105,S105))</f>
        <v>3400</v>
      </c>
      <c r="U105" s="7" t="s">
        <v>547</v>
      </c>
      <c r="V105" s="38" t="s">
        <v>181</v>
      </c>
      <c r="W105" s="38" t="n">
        <v>4</v>
      </c>
      <c r="X105" s="38" t="n">
        <v>1.5</v>
      </c>
      <c r="Y105" s="35" t="n">
        <f aca="false">ROUND(0.6*W105+0.4*X105,1)</f>
        <v>3</v>
      </c>
      <c r="Z105" s="38" t="s">
        <v>182</v>
      </c>
      <c r="AA105" s="38" t="n">
        <v>1</v>
      </c>
      <c r="AB105" s="39" t="n">
        <f aca="false">1-AA105*(1-INDEX('Perfil e pressupostos'!$C$14:$C$20,MATCH(Z105,'Perfil e pressupostos'!$A$14:$A$20,0)))</f>
        <v>0.95</v>
      </c>
      <c r="AC105" s="38" t="n">
        <v>0.3</v>
      </c>
      <c r="AD105" s="38" t="n">
        <v>0.5</v>
      </c>
      <c r="AE105" s="38" t="n">
        <v>0.7</v>
      </c>
      <c r="AF105" s="40" t="n">
        <f aca="false">100*('Perfil e pressupostos'!$F$14*AB105+'Perfil e pressupostos'!$F$15*AC105+'Perfil e pressupostos'!$F$16*AD105+'Perfil e pressupostos'!$F$17*AE105)/'Perfil e pressupostos'!$F$18</f>
        <v>60.5</v>
      </c>
      <c r="AG105" s="41" t="n">
        <f aca="false">INDEX('Perfil e pressupostos'!$B$25:$B$28,MATCH(V105,'Perfil e pressupostos'!$A$25:$A$28,0))</f>
        <v>0.01</v>
      </c>
      <c r="AH105" s="41" t="n">
        <f aca="false">MIN('Perfil e pressupostos'!$F$29,AG105*('Perfil e pressupostos'!$F$25+'Perfil e pressupostos'!$F$26*AF105/100)*IF(AD105&lt;='Perfil e pressupostos'!$F$28,'Perfil e pressupostos'!$F$27,1))</f>
        <v>0.01126</v>
      </c>
      <c r="AI105" s="35" t="str">
        <f aca="false">IF(AQ105=0,"—",IF(AH105&gt;='Perfil e pressupostos'!$F$30,"Boa",IF(AH105&gt;='Perfil e pressupostos'!$F$31,"Média","Baixa")))</f>
        <v>Baixa</v>
      </c>
      <c r="AJ105" s="7" t="s">
        <v>412</v>
      </c>
      <c r="AK105" s="7" t="s">
        <v>215</v>
      </c>
      <c r="AL105" s="35" t="str">
        <f aca="false">IF(AK105="Prazo expirado","Prazo passado",IF(LEFT(AK105,11)="Monitorizar","Monitorizar",IF(Y105&gt;=3.5,"Prioridade",IF(Y105&gt;=3,"Candidatar (reach)","Reserva"))))</f>
        <v>Candidatar (reach)</v>
      </c>
      <c r="AM105" s="7" t="s">
        <v>776</v>
      </c>
      <c r="AN105" s="42" t="s">
        <v>777</v>
      </c>
      <c r="AO105" s="7" t="s">
        <v>295</v>
      </c>
      <c r="AP105" s="7" t="s">
        <v>218</v>
      </c>
      <c r="AQ105" s="7" t="n">
        <f aca="false">IF(OR(AK105="Prazo expirado",LEFT(AK105,11)="Monitorizar"),0,1)</f>
        <v>1</v>
      </c>
      <c r="AR105" s="41" t="n">
        <f aca="false">IF(AQ105=0,0,AH105)</f>
        <v>0.01126</v>
      </c>
      <c r="AS105" s="41" t="n">
        <f aca="false">AR105*W105/5</f>
        <v>0.009008</v>
      </c>
      <c r="AT105" s="43" t="n">
        <f aca="false">AS105+W105/1000000+(1000-ROW())/1000000000</f>
        <v>0.009012895</v>
      </c>
      <c r="AU105" s="35" t="n">
        <f aca="false">RANK(AT105,$AT$4:$AT$227)</f>
        <v>129</v>
      </c>
      <c r="AV105" s="40" t="n">
        <f aca="false">IF(AQ105=0,"",AF105)</f>
        <v>60.5</v>
      </c>
      <c r="AW105" s="41" t="n">
        <f aca="false">IF(AQ105=0,"",AH105)</f>
        <v>0.01126</v>
      </c>
    </row>
    <row r="106" customFormat="false" ht="45" hidden="false" customHeight="true" outlineLevel="0" collapsed="false">
      <c r="A106" s="35" t="n">
        <v>103</v>
      </c>
      <c r="B106" s="7" t="s">
        <v>774</v>
      </c>
      <c r="C106" s="7" t="s">
        <v>778</v>
      </c>
      <c r="D106" s="7" t="s">
        <v>191</v>
      </c>
      <c r="E106" s="7" t="s">
        <v>170</v>
      </c>
      <c r="F106" s="35" t="s">
        <v>83</v>
      </c>
      <c r="G106" s="7" t="s">
        <v>192</v>
      </c>
      <c r="H106" s="7" t="s">
        <v>172</v>
      </c>
      <c r="I106" s="7" t="s">
        <v>284</v>
      </c>
      <c r="J106" s="35" t="s">
        <v>233</v>
      </c>
      <c r="K106" s="7" t="s">
        <v>612</v>
      </c>
      <c r="L106" s="7" t="s">
        <v>613</v>
      </c>
      <c r="M106" s="7" t="s">
        <v>779</v>
      </c>
      <c r="N106" s="7" t="s">
        <v>215</v>
      </c>
      <c r="O106" s="7" t="s">
        <v>179</v>
      </c>
      <c r="P106" s="35" t="str">
        <f aca="true">IF(ISNUMBER(O106),O106-TODAY(),"")</f>
        <v/>
      </c>
      <c r="Q106" s="7" t="s">
        <v>179</v>
      </c>
      <c r="R106" s="36" t="n">
        <v>1000</v>
      </c>
      <c r="S106" s="36" t="n">
        <v>1800</v>
      </c>
      <c r="T106" s="37" t="n">
        <f aca="false">IF(R106="","",AVERAGE(R106,S106))</f>
        <v>1400</v>
      </c>
      <c r="U106" s="7" t="s">
        <v>547</v>
      </c>
      <c r="V106" s="38" t="s">
        <v>181</v>
      </c>
      <c r="W106" s="38" t="n">
        <v>4</v>
      </c>
      <c r="X106" s="38" t="n">
        <v>1.2</v>
      </c>
      <c r="Y106" s="35" t="n">
        <f aca="false">ROUND(0.6*W106+0.4*X106,1)</f>
        <v>2.9</v>
      </c>
      <c r="Z106" s="38" t="s">
        <v>200</v>
      </c>
      <c r="AA106" s="38" t="n">
        <v>0.8</v>
      </c>
      <c r="AB106" s="39" t="n">
        <f aca="false">1-AA106*(1-INDEX('Perfil e pressupostos'!$C$14:$C$20,MATCH(Z106,'Perfil e pressupostos'!$A$14:$A$20,0)))</f>
        <v>0.44</v>
      </c>
      <c r="AC106" s="38" t="n">
        <v>0.3</v>
      </c>
      <c r="AD106" s="38" t="n">
        <v>0.5</v>
      </c>
      <c r="AE106" s="38" t="n">
        <v>0.7</v>
      </c>
      <c r="AF106" s="40" t="n">
        <f aca="false">100*('Perfil e pressupostos'!$F$14*AB106+'Perfil e pressupostos'!$F$15*AC106+'Perfil e pressupostos'!$F$16*AD106+'Perfil e pressupostos'!$F$17*AE106)/'Perfil e pressupostos'!$F$18</f>
        <v>45.2</v>
      </c>
      <c r="AG106" s="41" t="n">
        <f aca="false">INDEX('Perfil e pressupostos'!$B$25:$B$28,MATCH(V106,'Perfil e pressupostos'!$A$25:$A$28,0))</f>
        <v>0.01</v>
      </c>
      <c r="AH106" s="41" t="n">
        <f aca="false">MIN('Perfil e pressupostos'!$F$29,AG106*('Perfil e pressupostos'!$F$25+'Perfil e pressupostos'!$F$26*AF106/100)*IF(AD106&lt;='Perfil e pressupostos'!$F$28,'Perfil e pressupostos'!$F$27,1))</f>
        <v>0.009424</v>
      </c>
      <c r="AI106" s="35" t="str">
        <f aca="false">IF(AQ106=0,"—",IF(AH106&gt;='Perfil e pressupostos'!$F$30,"Boa",IF(AH106&gt;='Perfil e pressupostos'!$F$31,"Média","Baixa")))</f>
        <v>Baixa</v>
      </c>
      <c r="AJ106" s="7" t="s">
        <v>780</v>
      </c>
      <c r="AK106" s="7" t="s">
        <v>215</v>
      </c>
      <c r="AL106" s="35" t="str">
        <f aca="false">IF(AK106="Prazo expirado","Prazo passado",IF(LEFT(AK106,11)="Monitorizar","Monitorizar",IF(Y106&gt;=3.5,"Prioridade",IF(Y106&gt;=3,"Candidatar (reach)","Reserva"))))</f>
        <v>Reserva</v>
      </c>
      <c r="AM106" s="7" t="s">
        <v>548</v>
      </c>
      <c r="AN106" s="42" t="s">
        <v>781</v>
      </c>
      <c r="AO106" s="7" t="s">
        <v>187</v>
      </c>
      <c r="AP106" s="7" t="s">
        <v>218</v>
      </c>
      <c r="AQ106" s="7" t="n">
        <f aca="false">IF(OR(AK106="Prazo expirado",LEFT(AK106,11)="Monitorizar"),0,1)</f>
        <v>1</v>
      </c>
      <c r="AR106" s="41" t="n">
        <f aca="false">IF(AQ106=0,0,AH106)</f>
        <v>0.009424</v>
      </c>
      <c r="AS106" s="41" t="n">
        <f aca="false">AR106*W106/5</f>
        <v>0.0075392</v>
      </c>
      <c r="AT106" s="43" t="n">
        <f aca="false">AS106+W106/1000000+(1000-ROW())/1000000000</f>
        <v>0.007544094</v>
      </c>
      <c r="AU106" s="35" t="n">
        <f aca="false">RANK(AT106,$AT$4:$AT$227)</f>
        <v>171</v>
      </c>
      <c r="AV106" s="40" t="n">
        <f aca="false">IF(AQ106=0,"",AF106)</f>
        <v>45.2</v>
      </c>
      <c r="AW106" s="41" t="n">
        <f aca="false">IF(AQ106=0,"",AH106)</f>
        <v>0.009424</v>
      </c>
    </row>
    <row r="107" customFormat="false" ht="57" hidden="false" customHeight="true" outlineLevel="0" collapsed="false">
      <c r="A107" s="35" t="n">
        <v>104</v>
      </c>
      <c r="B107" s="7" t="s">
        <v>774</v>
      </c>
      <c r="C107" s="7" t="s">
        <v>782</v>
      </c>
      <c r="D107" s="7" t="s">
        <v>191</v>
      </c>
      <c r="E107" s="7" t="s">
        <v>170</v>
      </c>
      <c r="F107" s="35" t="s">
        <v>97</v>
      </c>
      <c r="G107" s="7" t="s">
        <v>589</v>
      </c>
      <c r="H107" s="7" t="s">
        <v>172</v>
      </c>
      <c r="I107" s="7" t="s">
        <v>284</v>
      </c>
      <c r="J107" s="35" t="s">
        <v>233</v>
      </c>
      <c r="K107" s="7" t="s">
        <v>612</v>
      </c>
      <c r="L107" s="7" t="s">
        <v>613</v>
      </c>
      <c r="M107" s="7" t="s">
        <v>590</v>
      </c>
      <c r="N107" s="7" t="s">
        <v>215</v>
      </c>
      <c r="O107" s="7" t="s">
        <v>179</v>
      </c>
      <c r="P107" s="35" t="str">
        <f aca="true">IF(ISNUMBER(O107),O107-TODAY(),"")</f>
        <v/>
      </c>
      <c r="Q107" s="7" t="s">
        <v>179</v>
      </c>
      <c r="R107" s="36" t="n">
        <v>800</v>
      </c>
      <c r="S107" s="36" t="n">
        <v>1500</v>
      </c>
      <c r="T107" s="37" t="n">
        <f aca="false">IF(R107="","",AVERAGE(R107,S107))</f>
        <v>1150</v>
      </c>
      <c r="U107" s="7" t="s">
        <v>547</v>
      </c>
      <c r="V107" s="38" t="s">
        <v>181</v>
      </c>
      <c r="W107" s="38" t="n">
        <v>4</v>
      </c>
      <c r="X107" s="38" t="n">
        <v>1.3</v>
      </c>
      <c r="Y107" s="35" t="n">
        <f aca="false">ROUND(0.6*W107+0.4*X107,1)</f>
        <v>2.9</v>
      </c>
      <c r="Z107" s="38" t="s">
        <v>591</v>
      </c>
      <c r="AA107" s="38" t="n">
        <v>0.6</v>
      </c>
      <c r="AB107" s="39" t="n">
        <f aca="false">1-AA107*(1-INDEX('Perfil e pressupostos'!$C$14:$C$20,MATCH(Z107,'Perfil e pressupostos'!$A$14:$A$20,0)))</f>
        <v>0.58</v>
      </c>
      <c r="AC107" s="38" t="n">
        <v>0.3</v>
      </c>
      <c r="AD107" s="38" t="n">
        <v>0.5</v>
      </c>
      <c r="AE107" s="38" t="n">
        <v>0.7</v>
      </c>
      <c r="AF107" s="40" t="n">
        <f aca="false">100*('Perfil e pressupostos'!$F$14*AB107+'Perfil e pressupostos'!$F$15*AC107+'Perfil e pressupostos'!$F$16*AD107+'Perfil e pressupostos'!$F$17*AE107)/'Perfil e pressupostos'!$F$18</f>
        <v>49.4</v>
      </c>
      <c r="AG107" s="41" t="n">
        <f aca="false">INDEX('Perfil e pressupostos'!$B$25:$B$28,MATCH(V107,'Perfil e pressupostos'!$A$25:$A$28,0))</f>
        <v>0.01</v>
      </c>
      <c r="AH107" s="41" t="n">
        <f aca="false">MIN('Perfil e pressupostos'!$F$29,AG107*('Perfil e pressupostos'!$F$25+'Perfil e pressupostos'!$F$26*AF107/100)*IF(AD107&lt;='Perfil e pressupostos'!$F$28,'Perfil e pressupostos'!$F$27,1))</f>
        <v>0.009928</v>
      </c>
      <c r="AI107" s="35" t="str">
        <f aca="false">IF(AQ107=0,"—",IF(AH107&gt;='Perfil e pressupostos'!$F$30,"Boa",IF(AH107&gt;='Perfil e pressupostos'!$F$31,"Média","Baixa")))</f>
        <v>Baixa</v>
      </c>
      <c r="AJ107" s="7" t="s">
        <v>727</v>
      </c>
      <c r="AK107" s="7" t="s">
        <v>215</v>
      </c>
      <c r="AL107" s="35" t="str">
        <f aca="false">IF(AK107="Prazo expirado","Prazo passado",IF(LEFT(AK107,11)="Monitorizar","Monitorizar",IF(Y107&gt;=3.5,"Prioridade",IF(Y107&gt;=3,"Candidatar (reach)","Reserva"))))</f>
        <v>Reserva</v>
      </c>
      <c r="AM107" s="7" t="s">
        <v>548</v>
      </c>
      <c r="AN107" s="42" t="s">
        <v>783</v>
      </c>
      <c r="AO107" s="7" t="s">
        <v>187</v>
      </c>
      <c r="AP107" s="7" t="s">
        <v>218</v>
      </c>
      <c r="AQ107" s="7" t="n">
        <f aca="false">IF(OR(AK107="Prazo expirado",LEFT(AK107,11)="Monitorizar"),0,1)</f>
        <v>1</v>
      </c>
      <c r="AR107" s="41" t="n">
        <f aca="false">IF(AQ107=0,0,AH107)</f>
        <v>0.009928</v>
      </c>
      <c r="AS107" s="41" t="n">
        <f aca="false">AR107*W107/5</f>
        <v>0.0079424</v>
      </c>
      <c r="AT107" s="43" t="n">
        <f aca="false">AS107+W107/1000000+(1000-ROW())/1000000000</f>
        <v>0.007947293</v>
      </c>
      <c r="AU107" s="35" t="n">
        <f aca="false">RANK(AT107,$AT$4:$AT$227)</f>
        <v>150</v>
      </c>
      <c r="AV107" s="40" t="n">
        <f aca="false">IF(AQ107=0,"",AF107)</f>
        <v>49.4</v>
      </c>
      <c r="AW107" s="41" t="n">
        <f aca="false">IF(AQ107=0,"",AH107)</f>
        <v>0.009928</v>
      </c>
    </row>
    <row r="108" customFormat="false" ht="45" hidden="false" customHeight="true" outlineLevel="0" collapsed="false">
      <c r="A108" s="35" t="n">
        <v>105</v>
      </c>
      <c r="B108" s="7" t="s">
        <v>447</v>
      </c>
      <c r="C108" s="7" t="s">
        <v>784</v>
      </c>
      <c r="D108" s="7" t="s">
        <v>169</v>
      </c>
      <c r="E108" s="7" t="s">
        <v>310</v>
      </c>
      <c r="F108" s="35" t="s">
        <v>81</v>
      </c>
      <c r="G108" s="7" t="s">
        <v>171</v>
      </c>
      <c r="H108" s="7" t="s">
        <v>172</v>
      </c>
      <c r="I108" s="7" t="s">
        <v>465</v>
      </c>
      <c r="J108" s="35" t="s">
        <v>207</v>
      </c>
      <c r="K108" s="7" t="s">
        <v>544</v>
      </c>
      <c r="L108" s="7" t="s">
        <v>545</v>
      </c>
      <c r="M108" s="7" t="s">
        <v>576</v>
      </c>
      <c r="N108" s="7" t="s">
        <v>215</v>
      </c>
      <c r="O108" s="7" t="s">
        <v>179</v>
      </c>
      <c r="P108" s="35" t="str">
        <f aca="true">IF(ISNUMBER(O108),O108-TODAY(),"")</f>
        <v/>
      </c>
      <c r="Q108" s="7" t="s">
        <v>179</v>
      </c>
      <c r="R108" s="36" t="n">
        <v>2800</v>
      </c>
      <c r="S108" s="36" t="n">
        <v>4000</v>
      </c>
      <c r="T108" s="37" t="n">
        <f aca="false">IF(R108="","",AVERAGE(R108,S108))</f>
        <v>3400</v>
      </c>
      <c r="U108" s="7" t="s">
        <v>547</v>
      </c>
      <c r="V108" s="38" t="s">
        <v>181</v>
      </c>
      <c r="W108" s="38" t="n">
        <v>5</v>
      </c>
      <c r="X108" s="38" t="n">
        <v>1.5</v>
      </c>
      <c r="Y108" s="35" t="n">
        <f aca="false">ROUND(0.6*W108+0.4*X108,1)</f>
        <v>3.6</v>
      </c>
      <c r="Z108" s="38" t="s">
        <v>182</v>
      </c>
      <c r="AA108" s="38" t="n">
        <v>1</v>
      </c>
      <c r="AB108" s="39" t="n">
        <f aca="false">1-AA108*(1-INDEX('Perfil e pressupostos'!$C$14:$C$20,MATCH(Z108,'Perfil e pressupostos'!$A$14:$A$20,0)))</f>
        <v>0.95</v>
      </c>
      <c r="AC108" s="38" t="n">
        <v>0.2</v>
      </c>
      <c r="AD108" s="38" t="n">
        <v>0.5</v>
      </c>
      <c r="AE108" s="38" t="n">
        <v>0.7</v>
      </c>
      <c r="AF108" s="40" t="n">
        <f aca="false">100*('Perfil e pressupostos'!$F$14*AB108+'Perfil e pressupostos'!$F$15*AC108+'Perfil e pressupostos'!$F$16*AD108+'Perfil e pressupostos'!$F$17*AE108)/'Perfil e pressupostos'!$F$18</f>
        <v>57.5</v>
      </c>
      <c r="AG108" s="41" t="n">
        <f aca="false">INDEX('Perfil e pressupostos'!$B$25:$B$28,MATCH(V108,'Perfil e pressupostos'!$A$25:$A$28,0))</f>
        <v>0.01</v>
      </c>
      <c r="AH108" s="41" t="n">
        <f aca="false">MIN('Perfil e pressupostos'!$F$29,AG108*('Perfil e pressupostos'!$F$25+'Perfil e pressupostos'!$F$26*AF108/100)*IF(AD108&lt;='Perfil e pressupostos'!$F$28,'Perfil e pressupostos'!$F$27,1))</f>
        <v>0.0109</v>
      </c>
      <c r="AI108" s="35" t="str">
        <f aca="false">IF(AQ108=0,"—",IF(AH108&gt;='Perfil e pressupostos'!$F$30,"Boa",IF(AH108&gt;='Perfil e pressupostos'!$F$31,"Média","Baixa")))</f>
        <v>Baixa</v>
      </c>
      <c r="AJ108" s="7" t="s">
        <v>656</v>
      </c>
      <c r="AK108" s="7" t="s">
        <v>215</v>
      </c>
      <c r="AL108" s="35" t="str">
        <f aca="false">IF(AK108="Prazo expirado","Prazo passado",IF(LEFT(AK108,11)="Monitorizar","Monitorizar",IF(Y108&gt;=3.5,"Prioridade",IF(Y108&gt;=3,"Candidatar (reach)","Reserva"))))</f>
        <v>Prioridade</v>
      </c>
      <c r="AM108" s="7" t="s">
        <v>548</v>
      </c>
      <c r="AN108" s="42" t="s">
        <v>785</v>
      </c>
      <c r="AO108" s="7" t="s">
        <v>187</v>
      </c>
      <c r="AP108" s="7" t="s">
        <v>218</v>
      </c>
      <c r="AQ108" s="7" t="n">
        <f aca="false">IF(OR(AK108="Prazo expirado",LEFT(AK108,11)="Monitorizar"),0,1)</f>
        <v>1</v>
      </c>
      <c r="AR108" s="41" t="n">
        <f aca="false">IF(AQ108=0,0,AH108)</f>
        <v>0.0109</v>
      </c>
      <c r="AS108" s="41" t="n">
        <f aca="false">AR108*W108/5</f>
        <v>0.0109</v>
      </c>
      <c r="AT108" s="43" t="n">
        <f aca="false">AS108+W108/1000000+(1000-ROW())/1000000000</f>
        <v>0.010905892</v>
      </c>
      <c r="AU108" s="35" t="n">
        <f aca="false">RANK(AT108,$AT$4:$AT$227)</f>
        <v>108</v>
      </c>
      <c r="AV108" s="40" t="n">
        <f aca="false">IF(AQ108=0,"",AF108)</f>
        <v>57.5</v>
      </c>
      <c r="AW108" s="41" t="n">
        <f aca="false">IF(AQ108=0,"",AH108)</f>
        <v>0.0109</v>
      </c>
    </row>
    <row r="109" customFormat="false" ht="33.75" hidden="false" customHeight="true" outlineLevel="0" collapsed="false">
      <c r="A109" s="35" t="n">
        <v>106</v>
      </c>
      <c r="B109" s="7" t="s">
        <v>447</v>
      </c>
      <c r="C109" s="7" t="s">
        <v>786</v>
      </c>
      <c r="D109" s="7" t="s">
        <v>406</v>
      </c>
      <c r="E109" s="7" t="s">
        <v>310</v>
      </c>
      <c r="F109" s="35" t="s">
        <v>81</v>
      </c>
      <c r="G109" s="7" t="s">
        <v>171</v>
      </c>
      <c r="H109" s="7" t="s">
        <v>172</v>
      </c>
      <c r="I109" s="7" t="s">
        <v>465</v>
      </c>
      <c r="J109" s="35" t="s">
        <v>207</v>
      </c>
      <c r="K109" s="7" t="s">
        <v>725</v>
      </c>
      <c r="L109" s="7" t="s">
        <v>726</v>
      </c>
      <c r="M109" s="7" t="s">
        <v>576</v>
      </c>
      <c r="N109" s="7" t="s">
        <v>215</v>
      </c>
      <c r="O109" s="7" t="s">
        <v>179</v>
      </c>
      <c r="P109" s="35" t="str">
        <f aca="true">IF(ISNUMBER(O109),O109-TODAY(),"")</f>
        <v/>
      </c>
      <c r="Q109" s="7" t="s">
        <v>179</v>
      </c>
      <c r="R109" s="36" t="n">
        <v>2800</v>
      </c>
      <c r="S109" s="36" t="n">
        <v>4000</v>
      </c>
      <c r="T109" s="37" t="n">
        <f aca="false">IF(R109="","",AVERAGE(R109,S109))</f>
        <v>3400</v>
      </c>
      <c r="U109" s="7" t="s">
        <v>547</v>
      </c>
      <c r="V109" s="38" t="s">
        <v>181</v>
      </c>
      <c r="W109" s="38" t="n">
        <v>4</v>
      </c>
      <c r="X109" s="38" t="n">
        <v>1.5</v>
      </c>
      <c r="Y109" s="35" t="n">
        <f aca="false">ROUND(0.6*W109+0.4*X109,1)</f>
        <v>3</v>
      </c>
      <c r="Z109" s="38" t="s">
        <v>182</v>
      </c>
      <c r="AA109" s="38" t="n">
        <v>1</v>
      </c>
      <c r="AB109" s="39" t="n">
        <f aca="false">1-AA109*(1-INDEX('Perfil e pressupostos'!$C$14:$C$20,MATCH(Z109,'Perfil e pressupostos'!$A$14:$A$20,0)))</f>
        <v>0.95</v>
      </c>
      <c r="AC109" s="38" t="n">
        <v>0.2</v>
      </c>
      <c r="AD109" s="38" t="n">
        <v>0.5</v>
      </c>
      <c r="AE109" s="38" t="n">
        <v>0.7</v>
      </c>
      <c r="AF109" s="40" t="n">
        <f aca="false">100*('Perfil e pressupostos'!$F$14*AB109+'Perfil e pressupostos'!$F$15*AC109+'Perfil e pressupostos'!$F$16*AD109+'Perfil e pressupostos'!$F$17*AE109)/'Perfil e pressupostos'!$F$18</f>
        <v>57.5</v>
      </c>
      <c r="AG109" s="41" t="n">
        <f aca="false">INDEX('Perfil e pressupostos'!$B$25:$B$28,MATCH(V109,'Perfil e pressupostos'!$A$25:$A$28,0))</f>
        <v>0.01</v>
      </c>
      <c r="AH109" s="41" t="n">
        <f aca="false">MIN('Perfil e pressupostos'!$F$29,AG109*('Perfil e pressupostos'!$F$25+'Perfil e pressupostos'!$F$26*AF109/100)*IF(AD109&lt;='Perfil e pressupostos'!$F$28,'Perfil e pressupostos'!$F$27,1))</f>
        <v>0.0109</v>
      </c>
      <c r="AI109" s="35" t="str">
        <f aca="false">IF(AQ109=0,"—",IF(AH109&gt;='Perfil e pressupostos'!$F$30,"Boa",IF(AH109&gt;='Perfil e pressupostos'!$F$31,"Média","Baixa")))</f>
        <v>Baixa</v>
      </c>
      <c r="AJ109" s="7" t="s">
        <v>656</v>
      </c>
      <c r="AK109" s="7" t="s">
        <v>215</v>
      </c>
      <c r="AL109" s="35" t="str">
        <f aca="false">IF(AK109="Prazo expirado","Prazo passado",IF(LEFT(AK109,11)="Monitorizar","Monitorizar",IF(Y109&gt;=3.5,"Prioridade",IF(Y109&gt;=3,"Candidatar (reach)","Reserva"))))</f>
        <v>Candidatar (reach)</v>
      </c>
      <c r="AM109" s="7" t="s">
        <v>548</v>
      </c>
      <c r="AN109" s="42" t="s">
        <v>787</v>
      </c>
      <c r="AO109" s="7" t="s">
        <v>187</v>
      </c>
      <c r="AP109" s="7" t="s">
        <v>218</v>
      </c>
      <c r="AQ109" s="7" t="n">
        <f aca="false">IF(OR(AK109="Prazo expirado",LEFT(AK109,11)="Monitorizar"),0,1)</f>
        <v>1</v>
      </c>
      <c r="AR109" s="41" t="n">
        <f aca="false">IF(AQ109=0,0,AH109)</f>
        <v>0.0109</v>
      </c>
      <c r="AS109" s="41" t="n">
        <f aca="false">AR109*W109/5</f>
        <v>0.00872</v>
      </c>
      <c r="AT109" s="43" t="n">
        <f aca="false">AS109+W109/1000000+(1000-ROW())/1000000000</f>
        <v>0.008724891</v>
      </c>
      <c r="AU109" s="35" t="n">
        <f aca="false">RANK(AT109,$AT$4:$AT$227)</f>
        <v>133</v>
      </c>
      <c r="AV109" s="40" t="n">
        <f aca="false">IF(AQ109=0,"",AF109)</f>
        <v>57.5</v>
      </c>
      <c r="AW109" s="41" t="n">
        <f aca="false">IF(AQ109=0,"",AH109)</f>
        <v>0.0109</v>
      </c>
    </row>
    <row r="110" customFormat="false" ht="33.75" hidden="false" customHeight="true" outlineLevel="0" collapsed="false">
      <c r="A110" s="35" t="n">
        <v>107</v>
      </c>
      <c r="B110" s="7" t="s">
        <v>447</v>
      </c>
      <c r="C110" s="7" t="s">
        <v>788</v>
      </c>
      <c r="D110" s="7" t="s">
        <v>282</v>
      </c>
      <c r="E110" s="7" t="s">
        <v>310</v>
      </c>
      <c r="F110" s="35" t="s">
        <v>81</v>
      </c>
      <c r="G110" s="7" t="s">
        <v>171</v>
      </c>
      <c r="H110" s="7" t="s">
        <v>172</v>
      </c>
      <c r="I110" s="7" t="s">
        <v>465</v>
      </c>
      <c r="J110" s="35" t="s">
        <v>207</v>
      </c>
      <c r="K110" s="7" t="s">
        <v>721</v>
      </c>
      <c r="L110" s="7" t="s">
        <v>722</v>
      </c>
      <c r="M110" s="7" t="s">
        <v>576</v>
      </c>
      <c r="N110" s="7" t="s">
        <v>215</v>
      </c>
      <c r="O110" s="7" t="s">
        <v>179</v>
      </c>
      <c r="P110" s="35" t="str">
        <f aca="true">IF(ISNUMBER(O110),O110-TODAY(),"")</f>
        <v/>
      </c>
      <c r="Q110" s="7" t="s">
        <v>179</v>
      </c>
      <c r="R110" s="36" t="n">
        <v>2800</v>
      </c>
      <c r="S110" s="36" t="n">
        <v>4000</v>
      </c>
      <c r="T110" s="37" t="n">
        <f aca="false">IF(R110="","",AVERAGE(R110,S110))</f>
        <v>3400</v>
      </c>
      <c r="U110" s="7" t="s">
        <v>547</v>
      </c>
      <c r="V110" s="38" t="s">
        <v>181</v>
      </c>
      <c r="W110" s="38" t="n">
        <v>4</v>
      </c>
      <c r="X110" s="38" t="n">
        <v>1.5</v>
      </c>
      <c r="Y110" s="35" t="n">
        <f aca="false">ROUND(0.6*W110+0.4*X110,1)</f>
        <v>3</v>
      </c>
      <c r="Z110" s="38" t="s">
        <v>182</v>
      </c>
      <c r="AA110" s="38" t="n">
        <v>1</v>
      </c>
      <c r="AB110" s="39" t="n">
        <f aca="false">1-AA110*(1-INDEX('Perfil e pressupostos'!$C$14:$C$20,MATCH(Z110,'Perfil e pressupostos'!$A$14:$A$20,0)))</f>
        <v>0.95</v>
      </c>
      <c r="AC110" s="38" t="n">
        <v>0.2</v>
      </c>
      <c r="AD110" s="38" t="n">
        <v>0.5</v>
      </c>
      <c r="AE110" s="38" t="n">
        <v>0.7</v>
      </c>
      <c r="AF110" s="40" t="n">
        <f aca="false">100*('Perfil e pressupostos'!$F$14*AB110+'Perfil e pressupostos'!$F$15*AC110+'Perfil e pressupostos'!$F$16*AD110+'Perfil e pressupostos'!$F$17*AE110)/'Perfil e pressupostos'!$F$18</f>
        <v>57.5</v>
      </c>
      <c r="AG110" s="41" t="n">
        <f aca="false">INDEX('Perfil e pressupostos'!$B$25:$B$28,MATCH(V110,'Perfil e pressupostos'!$A$25:$A$28,0))</f>
        <v>0.01</v>
      </c>
      <c r="AH110" s="41" t="n">
        <f aca="false">MIN('Perfil e pressupostos'!$F$29,AG110*('Perfil e pressupostos'!$F$25+'Perfil e pressupostos'!$F$26*AF110/100)*IF(AD110&lt;='Perfil e pressupostos'!$F$28,'Perfil e pressupostos'!$F$27,1))</f>
        <v>0.0109</v>
      </c>
      <c r="AI110" s="35" t="str">
        <f aca="false">IF(AQ110=0,"—",IF(AH110&gt;='Perfil e pressupostos'!$F$30,"Boa",IF(AH110&gt;='Perfil e pressupostos'!$F$31,"Média","Baixa")))</f>
        <v>Baixa</v>
      </c>
      <c r="AJ110" s="7" t="s">
        <v>656</v>
      </c>
      <c r="AK110" s="7" t="s">
        <v>215</v>
      </c>
      <c r="AL110" s="35" t="str">
        <f aca="false">IF(AK110="Prazo expirado","Prazo passado",IF(LEFT(AK110,11)="Monitorizar","Monitorizar",IF(Y110&gt;=3.5,"Prioridade",IF(Y110&gt;=3,"Candidatar (reach)","Reserva"))))</f>
        <v>Candidatar (reach)</v>
      </c>
      <c r="AM110" s="7" t="s">
        <v>548</v>
      </c>
      <c r="AN110" s="42" t="s">
        <v>789</v>
      </c>
      <c r="AO110" s="7" t="s">
        <v>187</v>
      </c>
      <c r="AP110" s="7" t="s">
        <v>218</v>
      </c>
      <c r="AQ110" s="7" t="n">
        <f aca="false">IF(OR(AK110="Prazo expirado",LEFT(AK110,11)="Monitorizar"),0,1)</f>
        <v>1</v>
      </c>
      <c r="AR110" s="41" t="n">
        <f aca="false">IF(AQ110=0,0,AH110)</f>
        <v>0.0109</v>
      </c>
      <c r="AS110" s="41" t="n">
        <f aca="false">AR110*W110/5</f>
        <v>0.00872</v>
      </c>
      <c r="AT110" s="43" t="n">
        <f aca="false">AS110+W110/1000000+(1000-ROW())/1000000000</f>
        <v>0.00872489</v>
      </c>
      <c r="AU110" s="35" t="n">
        <f aca="false">RANK(AT110,$AT$4:$AT$227)</f>
        <v>134</v>
      </c>
      <c r="AV110" s="40" t="n">
        <f aca="false">IF(AQ110=0,"",AF110)</f>
        <v>57.5</v>
      </c>
      <c r="AW110" s="41" t="n">
        <f aca="false">IF(AQ110=0,"",AH110)</f>
        <v>0.0109</v>
      </c>
    </row>
    <row r="111" customFormat="false" ht="33.75" hidden="false" customHeight="true" outlineLevel="0" collapsed="false">
      <c r="A111" s="35" t="n">
        <v>108</v>
      </c>
      <c r="B111" s="7" t="s">
        <v>447</v>
      </c>
      <c r="C111" s="7" t="s">
        <v>790</v>
      </c>
      <c r="D111" s="7" t="s">
        <v>375</v>
      </c>
      <c r="E111" s="7" t="s">
        <v>310</v>
      </c>
      <c r="F111" s="35" t="s">
        <v>81</v>
      </c>
      <c r="G111" s="7" t="s">
        <v>171</v>
      </c>
      <c r="H111" s="7" t="s">
        <v>172</v>
      </c>
      <c r="I111" s="7" t="s">
        <v>465</v>
      </c>
      <c r="J111" s="35" t="s">
        <v>207</v>
      </c>
      <c r="K111" s="7" t="s">
        <v>559</v>
      </c>
      <c r="L111" s="7" t="s">
        <v>560</v>
      </c>
      <c r="M111" s="7" t="s">
        <v>576</v>
      </c>
      <c r="N111" s="7" t="s">
        <v>215</v>
      </c>
      <c r="O111" s="7" t="s">
        <v>179</v>
      </c>
      <c r="P111" s="35" t="str">
        <f aca="true">IF(ISNUMBER(O111),O111-TODAY(),"")</f>
        <v/>
      </c>
      <c r="Q111" s="7" t="s">
        <v>179</v>
      </c>
      <c r="R111" s="36" t="n">
        <v>2800</v>
      </c>
      <c r="S111" s="36" t="n">
        <v>4000</v>
      </c>
      <c r="T111" s="37" t="n">
        <f aca="false">IF(R111="","",AVERAGE(R111,S111))</f>
        <v>3400</v>
      </c>
      <c r="U111" s="7" t="s">
        <v>547</v>
      </c>
      <c r="V111" s="38" t="s">
        <v>181</v>
      </c>
      <c r="W111" s="38" t="n">
        <v>4</v>
      </c>
      <c r="X111" s="38" t="n">
        <v>1.5</v>
      </c>
      <c r="Y111" s="35" t="n">
        <f aca="false">ROUND(0.6*W111+0.4*X111,1)</f>
        <v>3</v>
      </c>
      <c r="Z111" s="38" t="s">
        <v>182</v>
      </c>
      <c r="AA111" s="38" t="n">
        <v>1</v>
      </c>
      <c r="AB111" s="39" t="n">
        <f aca="false">1-AA111*(1-INDEX('Perfil e pressupostos'!$C$14:$C$20,MATCH(Z111,'Perfil e pressupostos'!$A$14:$A$20,0)))</f>
        <v>0.95</v>
      </c>
      <c r="AC111" s="38" t="n">
        <v>0.2</v>
      </c>
      <c r="AD111" s="38" t="n">
        <v>0.5</v>
      </c>
      <c r="AE111" s="38" t="n">
        <v>0.7</v>
      </c>
      <c r="AF111" s="40" t="n">
        <f aca="false">100*('Perfil e pressupostos'!$F$14*AB111+'Perfil e pressupostos'!$F$15*AC111+'Perfil e pressupostos'!$F$16*AD111+'Perfil e pressupostos'!$F$17*AE111)/'Perfil e pressupostos'!$F$18</f>
        <v>57.5</v>
      </c>
      <c r="AG111" s="41" t="n">
        <f aca="false">INDEX('Perfil e pressupostos'!$B$25:$B$28,MATCH(V111,'Perfil e pressupostos'!$A$25:$A$28,0))</f>
        <v>0.01</v>
      </c>
      <c r="AH111" s="41" t="n">
        <f aca="false">MIN('Perfil e pressupostos'!$F$29,AG111*('Perfil e pressupostos'!$F$25+'Perfil e pressupostos'!$F$26*AF111/100)*IF(AD111&lt;='Perfil e pressupostos'!$F$28,'Perfil e pressupostos'!$F$27,1))</f>
        <v>0.0109</v>
      </c>
      <c r="AI111" s="35" t="str">
        <f aca="false">IF(AQ111=0,"—",IF(AH111&gt;='Perfil e pressupostos'!$F$30,"Boa",IF(AH111&gt;='Perfil e pressupostos'!$F$31,"Média","Baixa")))</f>
        <v>Baixa</v>
      </c>
      <c r="AJ111" s="7" t="s">
        <v>656</v>
      </c>
      <c r="AK111" s="7" t="s">
        <v>215</v>
      </c>
      <c r="AL111" s="35" t="str">
        <f aca="false">IF(AK111="Prazo expirado","Prazo passado",IF(LEFT(AK111,11)="Monitorizar","Monitorizar",IF(Y111&gt;=3.5,"Prioridade",IF(Y111&gt;=3,"Candidatar (reach)","Reserva"))))</f>
        <v>Candidatar (reach)</v>
      </c>
      <c r="AM111" s="7" t="s">
        <v>548</v>
      </c>
      <c r="AN111" s="42" t="s">
        <v>791</v>
      </c>
      <c r="AO111" s="7" t="s">
        <v>187</v>
      </c>
      <c r="AP111" s="7" t="s">
        <v>218</v>
      </c>
      <c r="AQ111" s="7" t="n">
        <f aca="false">IF(OR(AK111="Prazo expirado",LEFT(AK111,11)="Monitorizar"),0,1)</f>
        <v>1</v>
      </c>
      <c r="AR111" s="41" t="n">
        <f aca="false">IF(AQ111=0,0,AH111)</f>
        <v>0.0109</v>
      </c>
      <c r="AS111" s="41" t="n">
        <f aca="false">AR111*W111/5</f>
        <v>0.00872</v>
      </c>
      <c r="AT111" s="43" t="n">
        <f aca="false">AS111+W111/1000000+(1000-ROW())/1000000000</f>
        <v>0.008724889</v>
      </c>
      <c r="AU111" s="35" t="n">
        <f aca="false">RANK(AT111,$AT$4:$AT$227)</f>
        <v>135</v>
      </c>
      <c r="AV111" s="40" t="n">
        <f aca="false">IF(AQ111=0,"",AF111)</f>
        <v>57.5</v>
      </c>
      <c r="AW111" s="41" t="n">
        <f aca="false">IF(AQ111=0,"",AH111)</f>
        <v>0.0109</v>
      </c>
    </row>
    <row r="112" customFormat="false" ht="33.75" hidden="false" customHeight="true" outlineLevel="0" collapsed="false">
      <c r="A112" s="35" t="n">
        <v>109</v>
      </c>
      <c r="B112" s="7" t="s">
        <v>447</v>
      </c>
      <c r="C112" s="7" t="s">
        <v>792</v>
      </c>
      <c r="D112" s="7" t="s">
        <v>793</v>
      </c>
      <c r="E112" s="7" t="s">
        <v>310</v>
      </c>
      <c r="F112" s="35" t="s">
        <v>81</v>
      </c>
      <c r="G112" s="7" t="s">
        <v>171</v>
      </c>
      <c r="H112" s="7" t="s">
        <v>172</v>
      </c>
      <c r="I112" s="7" t="s">
        <v>465</v>
      </c>
      <c r="J112" s="35" t="s">
        <v>207</v>
      </c>
      <c r="K112" s="7" t="s">
        <v>794</v>
      </c>
      <c r="L112" s="7" t="s">
        <v>795</v>
      </c>
      <c r="M112" s="7" t="s">
        <v>576</v>
      </c>
      <c r="N112" s="7" t="s">
        <v>215</v>
      </c>
      <c r="O112" s="7" t="s">
        <v>179</v>
      </c>
      <c r="P112" s="35" t="str">
        <f aca="true">IF(ISNUMBER(O112),O112-TODAY(),"")</f>
        <v/>
      </c>
      <c r="Q112" s="7" t="s">
        <v>179</v>
      </c>
      <c r="R112" s="36" t="n">
        <v>2800</v>
      </c>
      <c r="S112" s="36" t="n">
        <v>4000</v>
      </c>
      <c r="T112" s="37" t="n">
        <f aca="false">IF(R112="","",AVERAGE(R112,S112))</f>
        <v>3400</v>
      </c>
      <c r="U112" s="7" t="s">
        <v>547</v>
      </c>
      <c r="V112" s="38" t="s">
        <v>181</v>
      </c>
      <c r="W112" s="38" t="n">
        <v>3</v>
      </c>
      <c r="X112" s="38" t="n">
        <v>1.5</v>
      </c>
      <c r="Y112" s="35" t="n">
        <f aca="false">ROUND(0.6*W112+0.4*X112,1)</f>
        <v>2.4</v>
      </c>
      <c r="Z112" s="38" t="s">
        <v>182</v>
      </c>
      <c r="AA112" s="38" t="n">
        <v>1</v>
      </c>
      <c r="AB112" s="39" t="n">
        <f aca="false">1-AA112*(1-INDEX('Perfil e pressupostos'!$C$14:$C$20,MATCH(Z112,'Perfil e pressupostos'!$A$14:$A$20,0)))</f>
        <v>0.95</v>
      </c>
      <c r="AC112" s="38" t="n">
        <v>0.2</v>
      </c>
      <c r="AD112" s="38" t="n">
        <v>0.5</v>
      </c>
      <c r="AE112" s="38" t="n">
        <v>0.7</v>
      </c>
      <c r="AF112" s="40" t="n">
        <f aca="false">100*('Perfil e pressupostos'!$F$14*AB112+'Perfil e pressupostos'!$F$15*AC112+'Perfil e pressupostos'!$F$16*AD112+'Perfil e pressupostos'!$F$17*AE112)/'Perfil e pressupostos'!$F$18</f>
        <v>57.5</v>
      </c>
      <c r="AG112" s="41" t="n">
        <f aca="false">INDEX('Perfil e pressupostos'!$B$25:$B$28,MATCH(V112,'Perfil e pressupostos'!$A$25:$A$28,0))</f>
        <v>0.01</v>
      </c>
      <c r="AH112" s="41" t="n">
        <f aca="false">MIN('Perfil e pressupostos'!$F$29,AG112*('Perfil e pressupostos'!$F$25+'Perfil e pressupostos'!$F$26*AF112/100)*IF(AD112&lt;='Perfil e pressupostos'!$F$28,'Perfil e pressupostos'!$F$27,1))</f>
        <v>0.0109</v>
      </c>
      <c r="AI112" s="35" t="str">
        <f aca="false">IF(AQ112=0,"—",IF(AH112&gt;='Perfil e pressupostos'!$F$30,"Boa",IF(AH112&gt;='Perfil e pressupostos'!$F$31,"Média","Baixa")))</f>
        <v>Baixa</v>
      </c>
      <c r="AJ112" s="7" t="s">
        <v>656</v>
      </c>
      <c r="AK112" s="7" t="s">
        <v>215</v>
      </c>
      <c r="AL112" s="35" t="str">
        <f aca="false">IF(AK112="Prazo expirado","Prazo passado",IF(LEFT(AK112,11)="Monitorizar","Monitorizar",IF(Y112&gt;=3.5,"Prioridade",IF(Y112&gt;=3,"Candidatar (reach)","Reserva"))))</f>
        <v>Reserva</v>
      </c>
      <c r="AM112" s="7" t="s">
        <v>548</v>
      </c>
      <c r="AN112" s="42" t="s">
        <v>796</v>
      </c>
      <c r="AO112" s="7" t="s">
        <v>187</v>
      </c>
      <c r="AP112" s="7" t="s">
        <v>218</v>
      </c>
      <c r="AQ112" s="7" t="n">
        <f aca="false">IF(OR(AK112="Prazo expirado",LEFT(AK112,11)="Monitorizar"),0,1)</f>
        <v>1</v>
      </c>
      <c r="AR112" s="41" t="n">
        <f aca="false">IF(AQ112=0,0,AH112)</f>
        <v>0.0109</v>
      </c>
      <c r="AS112" s="41" t="n">
        <f aca="false">AR112*W112/5</f>
        <v>0.00654</v>
      </c>
      <c r="AT112" s="43" t="n">
        <f aca="false">AS112+W112/1000000+(1000-ROW())/1000000000</f>
        <v>0.006543888</v>
      </c>
      <c r="AU112" s="35" t="n">
        <f aca="false">RANK(AT112,$AT$4:$AT$227)</f>
        <v>181</v>
      </c>
      <c r="AV112" s="40" t="n">
        <f aca="false">IF(AQ112=0,"",AF112)</f>
        <v>57.5</v>
      </c>
      <c r="AW112" s="41" t="n">
        <f aca="false">IF(AQ112=0,"",AH112)</f>
        <v>0.0109</v>
      </c>
    </row>
    <row r="113" customFormat="false" ht="33.75" hidden="false" customHeight="true" outlineLevel="0" collapsed="false">
      <c r="A113" s="35" t="n">
        <v>110</v>
      </c>
      <c r="B113" s="7" t="s">
        <v>447</v>
      </c>
      <c r="C113" s="7" t="s">
        <v>797</v>
      </c>
      <c r="D113" s="7" t="s">
        <v>191</v>
      </c>
      <c r="E113" s="7" t="s">
        <v>310</v>
      </c>
      <c r="F113" s="35" t="s">
        <v>87</v>
      </c>
      <c r="G113" s="7" t="s">
        <v>457</v>
      </c>
      <c r="H113" s="7" t="s">
        <v>172</v>
      </c>
      <c r="I113" s="7" t="s">
        <v>465</v>
      </c>
      <c r="J113" s="35" t="s">
        <v>207</v>
      </c>
      <c r="K113" s="7" t="s">
        <v>612</v>
      </c>
      <c r="L113" s="7" t="s">
        <v>613</v>
      </c>
      <c r="M113" s="7" t="s">
        <v>576</v>
      </c>
      <c r="N113" s="7" t="s">
        <v>215</v>
      </c>
      <c r="O113" s="7" t="s">
        <v>179</v>
      </c>
      <c r="P113" s="35" t="str">
        <f aca="true">IF(ISNUMBER(O113),O113-TODAY(),"")</f>
        <v/>
      </c>
      <c r="Q113" s="7" t="s">
        <v>179</v>
      </c>
      <c r="R113" s="36" t="n">
        <v>1800</v>
      </c>
      <c r="S113" s="36" t="n">
        <v>2800</v>
      </c>
      <c r="T113" s="37" t="n">
        <f aca="false">IF(R113="","",AVERAGE(R113,S113))</f>
        <v>2300</v>
      </c>
      <c r="U113" s="7" t="s">
        <v>547</v>
      </c>
      <c r="V113" s="38" t="s">
        <v>181</v>
      </c>
      <c r="W113" s="38" t="n">
        <v>4</v>
      </c>
      <c r="X113" s="38" t="n">
        <v>1.3</v>
      </c>
      <c r="Y113" s="35" t="n">
        <f aca="false">ROUND(0.6*W113+0.4*X113,1)</f>
        <v>2.9</v>
      </c>
      <c r="Z113" s="38" t="s">
        <v>304</v>
      </c>
      <c r="AA113" s="38" t="n">
        <v>0.4</v>
      </c>
      <c r="AB113" s="39" t="n">
        <f aca="false">1-AA113*(1-INDEX('Perfil e pressupostos'!$C$14:$C$20,MATCH(Z113,'Perfil e pressupostos'!$A$14:$A$20,0)))</f>
        <v>0.62</v>
      </c>
      <c r="AC113" s="38" t="n">
        <v>0.2</v>
      </c>
      <c r="AD113" s="38" t="n">
        <v>0.5</v>
      </c>
      <c r="AE113" s="38" t="n">
        <v>0.7</v>
      </c>
      <c r="AF113" s="40" t="n">
        <f aca="false">100*('Perfil e pressupostos'!$F$14*AB113+'Perfil e pressupostos'!$F$15*AC113+'Perfil e pressupostos'!$F$16*AD113+'Perfil e pressupostos'!$F$17*AE113)/'Perfil e pressupostos'!$F$18</f>
        <v>47.6</v>
      </c>
      <c r="AG113" s="41" t="n">
        <f aca="false">INDEX('Perfil e pressupostos'!$B$25:$B$28,MATCH(V113,'Perfil e pressupostos'!$A$25:$A$28,0))</f>
        <v>0.01</v>
      </c>
      <c r="AH113" s="41" t="n">
        <f aca="false">MIN('Perfil e pressupostos'!$F$29,AG113*('Perfil e pressupostos'!$F$25+'Perfil e pressupostos'!$F$26*AF113/100)*IF(AD113&lt;='Perfil e pressupostos'!$F$28,'Perfil e pressupostos'!$F$27,1))</f>
        <v>0.009712</v>
      </c>
      <c r="AI113" s="35" t="str">
        <f aca="false">IF(AQ113=0,"—",IF(AH113&gt;='Perfil e pressupostos'!$F$30,"Boa",IF(AH113&gt;='Perfil e pressupostos'!$F$31,"Média","Baixa")))</f>
        <v>Baixa</v>
      </c>
      <c r="AJ113" s="7" t="s">
        <v>472</v>
      </c>
      <c r="AK113" s="7" t="s">
        <v>215</v>
      </c>
      <c r="AL113" s="35" t="str">
        <f aca="false">IF(AK113="Prazo expirado","Prazo passado",IF(LEFT(AK113,11)="Monitorizar","Monitorizar",IF(Y113&gt;=3.5,"Prioridade",IF(Y113&gt;=3,"Candidatar (reach)","Reserva"))))</f>
        <v>Reserva</v>
      </c>
      <c r="AM113" s="7" t="s">
        <v>548</v>
      </c>
      <c r="AN113" s="42" t="s">
        <v>798</v>
      </c>
      <c r="AO113" s="7" t="s">
        <v>187</v>
      </c>
      <c r="AP113" s="7" t="s">
        <v>218</v>
      </c>
      <c r="AQ113" s="7" t="n">
        <f aca="false">IF(OR(AK113="Prazo expirado",LEFT(AK113,11)="Monitorizar"),0,1)</f>
        <v>1</v>
      </c>
      <c r="AR113" s="41" t="n">
        <f aca="false">IF(AQ113=0,0,AH113)</f>
        <v>0.009712</v>
      </c>
      <c r="AS113" s="41" t="n">
        <f aca="false">AR113*W113/5</f>
        <v>0.0077696</v>
      </c>
      <c r="AT113" s="43" t="n">
        <f aca="false">AS113+W113/1000000+(1000-ROW())/1000000000</f>
        <v>0.007774487</v>
      </c>
      <c r="AU113" s="35" t="n">
        <f aca="false">RANK(AT113,$AT$4:$AT$227)</f>
        <v>157</v>
      </c>
      <c r="AV113" s="40" t="n">
        <f aca="false">IF(AQ113=0,"",AF113)</f>
        <v>47.6</v>
      </c>
      <c r="AW113" s="41" t="n">
        <f aca="false">IF(AQ113=0,"",AH113)</f>
        <v>0.009712</v>
      </c>
    </row>
    <row r="114" customFormat="false" ht="33.75" hidden="false" customHeight="true" outlineLevel="0" collapsed="false">
      <c r="A114" s="35" t="n">
        <v>111</v>
      </c>
      <c r="B114" s="7" t="s">
        <v>447</v>
      </c>
      <c r="C114" s="7" t="s">
        <v>797</v>
      </c>
      <c r="D114" s="7" t="s">
        <v>191</v>
      </c>
      <c r="E114" s="7" t="s">
        <v>310</v>
      </c>
      <c r="F114" s="35" t="s">
        <v>97</v>
      </c>
      <c r="G114" s="7" t="s">
        <v>589</v>
      </c>
      <c r="H114" s="7" t="s">
        <v>172</v>
      </c>
      <c r="I114" s="7" t="s">
        <v>465</v>
      </c>
      <c r="J114" s="35" t="s">
        <v>207</v>
      </c>
      <c r="K114" s="7" t="s">
        <v>612</v>
      </c>
      <c r="L114" s="7" t="s">
        <v>613</v>
      </c>
      <c r="M114" s="7" t="s">
        <v>590</v>
      </c>
      <c r="N114" s="7" t="s">
        <v>215</v>
      </c>
      <c r="O114" s="7" t="s">
        <v>179</v>
      </c>
      <c r="P114" s="35" t="str">
        <f aca="true">IF(ISNUMBER(O114),O114-TODAY(),"")</f>
        <v/>
      </c>
      <c r="Q114" s="7" t="s">
        <v>179</v>
      </c>
      <c r="R114" s="36" t="n">
        <v>800</v>
      </c>
      <c r="S114" s="36" t="n">
        <v>1500</v>
      </c>
      <c r="T114" s="37" t="n">
        <f aca="false">IF(R114="","",AVERAGE(R114,S114))</f>
        <v>1150</v>
      </c>
      <c r="U114" s="7" t="s">
        <v>547</v>
      </c>
      <c r="V114" s="38" t="s">
        <v>181</v>
      </c>
      <c r="W114" s="38" t="n">
        <v>4</v>
      </c>
      <c r="X114" s="38" t="n">
        <v>1.2</v>
      </c>
      <c r="Y114" s="35" t="n">
        <f aca="false">ROUND(0.6*W114+0.4*X114,1)</f>
        <v>2.9</v>
      </c>
      <c r="Z114" s="38" t="s">
        <v>591</v>
      </c>
      <c r="AA114" s="38" t="n">
        <v>0.6</v>
      </c>
      <c r="AB114" s="39" t="n">
        <f aca="false">1-AA114*(1-INDEX('Perfil e pressupostos'!$C$14:$C$20,MATCH(Z114,'Perfil e pressupostos'!$A$14:$A$20,0)))</f>
        <v>0.58</v>
      </c>
      <c r="AC114" s="38" t="n">
        <v>0.2</v>
      </c>
      <c r="AD114" s="38" t="n">
        <v>0.5</v>
      </c>
      <c r="AE114" s="38" t="n">
        <v>0.7</v>
      </c>
      <c r="AF114" s="40" t="n">
        <f aca="false">100*('Perfil e pressupostos'!$F$14*AB114+'Perfil e pressupostos'!$F$15*AC114+'Perfil e pressupostos'!$F$16*AD114+'Perfil e pressupostos'!$F$17*AE114)/'Perfil e pressupostos'!$F$18</f>
        <v>46.4</v>
      </c>
      <c r="AG114" s="41" t="n">
        <f aca="false">INDEX('Perfil e pressupostos'!$B$25:$B$28,MATCH(V114,'Perfil e pressupostos'!$A$25:$A$28,0))</f>
        <v>0.01</v>
      </c>
      <c r="AH114" s="41" t="n">
        <f aca="false">MIN('Perfil e pressupostos'!$F$29,AG114*('Perfil e pressupostos'!$F$25+'Perfil e pressupostos'!$F$26*AF114/100)*IF(AD114&lt;='Perfil e pressupostos'!$F$28,'Perfil e pressupostos'!$F$27,1))</f>
        <v>0.009568</v>
      </c>
      <c r="AI114" s="35" t="str">
        <f aca="false">IF(AQ114=0,"—",IF(AH114&gt;='Perfil e pressupostos'!$F$30,"Boa",IF(AH114&gt;='Perfil e pressupostos'!$F$31,"Média","Baixa")))</f>
        <v>Baixa</v>
      </c>
      <c r="AJ114" s="7" t="s">
        <v>799</v>
      </c>
      <c r="AK114" s="7" t="s">
        <v>215</v>
      </c>
      <c r="AL114" s="35" t="str">
        <f aca="false">IF(AK114="Prazo expirado","Prazo passado",IF(LEFT(AK114,11)="Monitorizar","Monitorizar",IF(Y114&gt;=3.5,"Prioridade",IF(Y114&gt;=3,"Candidatar (reach)","Reserva"))))</f>
        <v>Reserva</v>
      </c>
      <c r="AM114" s="7" t="s">
        <v>548</v>
      </c>
      <c r="AN114" s="42" t="s">
        <v>800</v>
      </c>
      <c r="AO114" s="7" t="s">
        <v>187</v>
      </c>
      <c r="AP114" s="7" t="s">
        <v>218</v>
      </c>
      <c r="AQ114" s="7" t="n">
        <f aca="false">IF(OR(AK114="Prazo expirado",LEFT(AK114,11)="Monitorizar"),0,1)</f>
        <v>1</v>
      </c>
      <c r="AR114" s="41" t="n">
        <f aca="false">IF(AQ114=0,0,AH114)</f>
        <v>0.009568</v>
      </c>
      <c r="AS114" s="41" t="n">
        <f aca="false">AR114*W114/5</f>
        <v>0.0076544</v>
      </c>
      <c r="AT114" s="43" t="n">
        <f aca="false">AS114+W114/1000000+(1000-ROW())/1000000000</f>
        <v>0.007659286</v>
      </c>
      <c r="AU114" s="35" t="n">
        <f aca="false">RANK(AT114,$AT$4:$AT$227)</f>
        <v>161</v>
      </c>
      <c r="AV114" s="40" t="n">
        <f aca="false">IF(AQ114=0,"",AF114)</f>
        <v>46.4</v>
      </c>
      <c r="AW114" s="41" t="n">
        <f aca="false">IF(AQ114=0,"",AH114)</f>
        <v>0.009568</v>
      </c>
    </row>
    <row r="115" customFormat="false" ht="33.75" hidden="false" customHeight="true" outlineLevel="0" collapsed="false">
      <c r="A115" s="35" t="n">
        <v>112</v>
      </c>
      <c r="B115" s="7" t="s">
        <v>447</v>
      </c>
      <c r="C115" s="7" t="s">
        <v>801</v>
      </c>
      <c r="D115" s="7" t="s">
        <v>191</v>
      </c>
      <c r="E115" s="7" t="s">
        <v>310</v>
      </c>
      <c r="F115" s="35" t="s">
        <v>97</v>
      </c>
      <c r="G115" s="7" t="s">
        <v>589</v>
      </c>
      <c r="H115" s="7" t="s">
        <v>172</v>
      </c>
      <c r="I115" s="7" t="s">
        <v>465</v>
      </c>
      <c r="J115" s="35" t="s">
        <v>207</v>
      </c>
      <c r="K115" s="7" t="s">
        <v>612</v>
      </c>
      <c r="L115" s="7" t="s">
        <v>613</v>
      </c>
      <c r="M115" s="7" t="s">
        <v>590</v>
      </c>
      <c r="N115" s="7" t="s">
        <v>215</v>
      </c>
      <c r="O115" s="7" t="s">
        <v>179</v>
      </c>
      <c r="P115" s="35" t="str">
        <f aca="true">IF(ISNUMBER(O115),O115-TODAY(),"")</f>
        <v/>
      </c>
      <c r="Q115" s="7" t="s">
        <v>179</v>
      </c>
      <c r="R115" s="36" t="n">
        <v>800</v>
      </c>
      <c r="S115" s="36" t="n">
        <v>1500</v>
      </c>
      <c r="T115" s="37" t="n">
        <f aca="false">IF(R115="","",AVERAGE(R115,S115))</f>
        <v>1150</v>
      </c>
      <c r="U115" s="7" t="s">
        <v>547</v>
      </c>
      <c r="V115" s="38" t="s">
        <v>181</v>
      </c>
      <c r="W115" s="38" t="n">
        <v>4</v>
      </c>
      <c r="X115" s="38" t="n">
        <v>1.2</v>
      </c>
      <c r="Y115" s="35" t="n">
        <f aca="false">ROUND(0.6*W115+0.4*X115,1)</f>
        <v>2.9</v>
      </c>
      <c r="Z115" s="38" t="s">
        <v>591</v>
      </c>
      <c r="AA115" s="38" t="n">
        <v>0.6</v>
      </c>
      <c r="AB115" s="39" t="n">
        <f aca="false">1-AA115*(1-INDEX('Perfil e pressupostos'!$C$14:$C$20,MATCH(Z115,'Perfil e pressupostos'!$A$14:$A$20,0)))</f>
        <v>0.58</v>
      </c>
      <c r="AC115" s="38" t="n">
        <v>0.2</v>
      </c>
      <c r="AD115" s="38" t="n">
        <v>0.5</v>
      </c>
      <c r="AE115" s="38" t="n">
        <v>0.7</v>
      </c>
      <c r="AF115" s="40" t="n">
        <f aca="false">100*('Perfil e pressupostos'!$F$14*AB115+'Perfil e pressupostos'!$F$15*AC115+'Perfil e pressupostos'!$F$16*AD115+'Perfil e pressupostos'!$F$17*AE115)/'Perfil e pressupostos'!$F$18</f>
        <v>46.4</v>
      </c>
      <c r="AG115" s="41" t="n">
        <f aca="false">INDEX('Perfil e pressupostos'!$B$25:$B$28,MATCH(V115,'Perfil e pressupostos'!$A$25:$A$28,0))</f>
        <v>0.01</v>
      </c>
      <c r="AH115" s="41" t="n">
        <f aca="false">MIN('Perfil e pressupostos'!$F$29,AG115*('Perfil e pressupostos'!$F$25+'Perfil e pressupostos'!$F$26*AF115/100)*IF(AD115&lt;='Perfil e pressupostos'!$F$28,'Perfil e pressupostos'!$F$27,1))</f>
        <v>0.009568</v>
      </c>
      <c r="AI115" s="35" t="str">
        <f aca="false">IF(AQ115=0,"—",IF(AH115&gt;='Perfil e pressupostos'!$F$30,"Boa",IF(AH115&gt;='Perfil e pressupostos'!$F$31,"Média","Baixa")))</f>
        <v>Baixa</v>
      </c>
      <c r="AJ115" s="7" t="s">
        <v>799</v>
      </c>
      <c r="AK115" s="7" t="s">
        <v>215</v>
      </c>
      <c r="AL115" s="35" t="str">
        <f aca="false">IF(AK115="Prazo expirado","Prazo passado",IF(LEFT(AK115,11)="Monitorizar","Monitorizar",IF(Y115&gt;=3.5,"Prioridade",IF(Y115&gt;=3,"Candidatar (reach)","Reserva"))))</f>
        <v>Reserva</v>
      </c>
      <c r="AM115" s="7" t="s">
        <v>548</v>
      </c>
      <c r="AN115" s="42" t="s">
        <v>802</v>
      </c>
      <c r="AO115" s="7" t="s">
        <v>187</v>
      </c>
      <c r="AP115" s="7" t="s">
        <v>218</v>
      </c>
      <c r="AQ115" s="7" t="n">
        <f aca="false">IF(OR(AK115="Prazo expirado",LEFT(AK115,11)="Monitorizar"),0,1)</f>
        <v>1</v>
      </c>
      <c r="AR115" s="41" t="n">
        <f aca="false">IF(AQ115=0,0,AH115)</f>
        <v>0.009568</v>
      </c>
      <c r="AS115" s="41" t="n">
        <f aca="false">AR115*W115/5</f>
        <v>0.0076544</v>
      </c>
      <c r="AT115" s="43" t="n">
        <f aca="false">AS115+W115/1000000+(1000-ROW())/1000000000</f>
        <v>0.007659285</v>
      </c>
      <c r="AU115" s="35" t="n">
        <f aca="false">RANK(AT115,$AT$4:$AT$227)</f>
        <v>162</v>
      </c>
      <c r="AV115" s="40" t="n">
        <f aca="false">IF(AQ115=0,"",AF115)</f>
        <v>46.4</v>
      </c>
      <c r="AW115" s="41" t="n">
        <f aca="false">IF(AQ115=0,"",AH115)</f>
        <v>0.009568</v>
      </c>
    </row>
    <row r="116" customFormat="false" ht="33.75" hidden="false" customHeight="true" outlineLevel="0" collapsed="false">
      <c r="A116" s="35" t="n">
        <v>113</v>
      </c>
      <c r="B116" s="7" t="s">
        <v>447</v>
      </c>
      <c r="C116" s="7" t="s">
        <v>801</v>
      </c>
      <c r="D116" s="7" t="s">
        <v>191</v>
      </c>
      <c r="E116" s="7" t="s">
        <v>310</v>
      </c>
      <c r="F116" s="35" t="s">
        <v>87</v>
      </c>
      <c r="G116" s="7" t="s">
        <v>489</v>
      </c>
      <c r="H116" s="7" t="s">
        <v>172</v>
      </c>
      <c r="I116" s="7" t="s">
        <v>465</v>
      </c>
      <c r="J116" s="35" t="s">
        <v>207</v>
      </c>
      <c r="K116" s="7" t="s">
        <v>612</v>
      </c>
      <c r="L116" s="7" t="s">
        <v>613</v>
      </c>
      <c r="M116" s="7" t="s">
        <v>576</v>
      </c>
      <c r="N116" s="7" t="s">
        <v>215</v>
      </c>
      <c r="O116" s="7" t="s">
        <v>179</v>
      </c>
      <c r="P116" s="35" t="str">
        <f aca="true">IF(ISNUMBER(O116),O116-TODAY(),"")</f>
        <v/>
      </c>
      <c r="Q116" s="7" t="s">
        <v>179</v>
      </c>
      <c r="R116" s="36" t="n">
        <v>1800</v>
      </c>
      <c r="S116" s="36" t="n">
        <v>2800</v>
      </c>
      <c r="T116" s="37" t="n">
        <f aca="false">IF(R116="","",AVERAGE(R116,S116))</f>
        <v>2300</v>
      </c>
      <c r="U116" s="7" t="s">
        <v>547</v>
      </c>
      <c r="V116" s="38" t="s">
        <v>181</v>
      </c>
      <c r="W116" s="38" t="n">
        <v>4</v>
      </c>
      <c r="X116" s="38" t="n">
        <v>1.3</v>
      </c>
      <c r="Y116" s="35" t="n">
        <f aca="false">ROUND(0.6*W116+0.4*X116,1)</f>
        <v>2.9</v>
      </c>
      <c r="Z116" s="38" t="s">
        <v>304</v>
      </c>
      <c r="AA116" s="38" t="n">
        <v>0.4</v>
      </c>
      <c r="AB116" s="39" t="n">
        <f aca="false">1-AA116*(1-INDEX('Perfil e pressupostos'!$C$14:$C$20,MATCH(Z116,'Perfil e pressupostos'!$A$14:$A$20,0)))</f>
        <v>0.62</v>
      </c>
      <c r="AC116" s="38" t="n">
        <v>0.2</v>
      </c>
      <c r="AD116" s="38" t="n">
        <v>0.5</v>
      </c>
      <c r="AE116" s="38" t="n">
        <v>0.7</v>
      </c>
      <c r="AF116" s="40" t="n">
        <f aca="false">100*('Perfil e pressupostos'!$F$14*AB116+'Perfil e pressupostos'!$F$15*AC116+'Perfil e pressupostos'!$F$16*AD116+'Perfil e pressupostos'!$F$17*AE116)/'Perfil e pressupostos'!$F$18</f>
        <v>47.6</v>
      </c>
      <c r="AG116" s="41" t="n">
        <f aca="false">INDEX('Perfil e pressupostos'!$B$25:$B$28,MATCH(V116,'Perfil e pressupostos'!$A$25:$A$28,0))</f>
        <v>0.01</v>
      </c>
      <c r="AH116" s="41" t="n">
        <f aca="false">MIN('Perfil e pressupostos'!$F$29,AG116*('Perfil e pressupostos'!$F$25+'Perfil e pressupostos'!$F$26*AF116/100)*IF(AD116&lt;='Perfil e pressupostos'!$F$28,'Perfil e pressupostos'!$F$27,1))</f>
        <v>0.009712</v>
      </c>
      <c r="AI116" s="35" t="str">
        <f aca="false">IF(AQ116=0,"—",IF(AH116&gt;='Perfil e pressupostos'!$F$30,"Boa",IF(AH116&gt;='Perfil e pressupostos'!$F$31,"Média","Baixa")))</f>
        <v>Baixa</v>
      </c>
      <c r="AJ116" s="7" t="s">
        <v>472</v>
      </c>
      <c r="AK116" s="7" t="s">
        <v>215</v>
      </c>
      <c r="AL116" s="35" t="str">
        <f aca="false">IF(AK116="Prazo expirado","Prazo passado",IF(LEFT(AK116,11)="Monitorizar","Monitorizar",IF(Y116&gt;=3.5,"Prioridade",IF(Y116&gt;=3,"Candidatar (reach)","Reserva"))))</f>
        <v>Reserva</v>
      </c>
      <c r="AM116" s="7" t="s">
        <v>548</v>
      </c>
      <c r="AN116" s="42" t="s">
        <v>803</v>
      </c>
      <c r="AO116" s="7" t="s">
        <v>187</v>
      </c>
      <c r="AP116" s="7" t="s">
        <v>218</v>
      </c>
      <c r="AQ116" s="7" t="n">
        <f aca="false">IF(OR(AK116="Prazo expirado",LEFT(AK116,11)="Monitorizar"),0,1)</f>
        <v>1</v>
      </c>
      <c r="AR116" s="41" t="n">
        <f aca="false">IF(AQ116=0,0,AH116)</f>
        <v>0.009712</v>
      </c>
      <c r="AS116" s="41" t="n">
        <f aca="false">AR116*W116/5</f>
        <v>0.0077696</v>
      </c>
      <c r="AT116" s="43" t="n">
        <f aca="false">AS116+W116/1000000+(1000-ROW())/1000000000</f>
        <v>0.007774484</v>
      </c>
      <c r="AU116" s="35" t="n">
        <f aca="false">RANK(AT116,$AT$4:$AT$227)</f>
        <v>158</v>
      </c>
      <c r="AV116" s="40" t="n">
        <f aca="false">IF(AQ116=0,"",AF116)</f>
        <v>47.6</v>
      </c>
      <c r="AW116" s="41" t="n">
        <f aca="false">IF(AQ116=0,"",AH116)</f>
        <v>0.009712</v>
      </c>
    </row>
    <row r="117" customFormat="false" ht="33.75" hidden="false" customHeight="true" outlineLevel="0" collapsed="false">
      <c r="A117" s="35" t="n">
        <v>114</v>
      </c>
      <c r="B117" s="7" t="s">
        <v>447</v>
      </c>
      <c r="C117" s="7" t="s">
        <v>797</v>
      </c>
      <c r="D117" s="7" t="s">
        <v>191</v>
      </c>
      <c r="E117" s="7" t="s">
        <v>310</v>
      </c>
      <c r="F117" s="35" t="s">
        <v>85</v>
      </c>
      <c r="G117" s="7" t="s">
        <v>205</v>
      </c>
      <c r="H117" s="7" t="s">
        <v>172</v>
      </c>
      <c r="I117" s="7" t="s">
        <v>465</v>
      </c>
      <c r="J117" s="35" t="s">
        <v>207</v>
      </c>
      <c r="K117" s="7" t="s">
        <v>612</v>
      </c>
      <c r="L117" s="7" t="s">
        <v>613</v>
      </c>
      <c r="M117" s="7" t="s">
        <v>546</v>
      </c>
      <c r="N117" s="7" t="s">
        <v>215</v>
      </c>
      <c r="O117" s="7" t="s">
        <v>179</v>
      </c>
      <c r="P117" s="35" t="str">
        <f aca="true">IF(ISNUMBER(O117),O117-TODAY(),"")</f>
        <v/>
      </c>
      <c r="Q117" s="7" t="s">
        <v>179</v>
      </c>
      <c r="R117" s="36" t="n">
        <v>1500</v>
      </c>
      <c r="S117" s="36" t="n">
        <v>2500</v>
      </c>
      <c r="T117" s="37" t="n">
        <f aca="false">IF(R117="","",AVERAGE(R117,S117))</f>
        <v>2000</v>
      </c>
      <c r="U117" s="7" t="s">
        <v>547</v>
      </c>
      <c r="V117" s="38" t="s">
        <v>181</v>
      </c>
      <c r="W117" s="38" t="n">
        <v>4</v>
      </c>
      <c r="X117" s="38" t="n">
        <v>1.2</v>
      </c>
      <c r="Y117" s="35" t="n">
        <f aca="false">ROUND(0.6*W117+0.4*X117,1)</f>
        <v>2.9</v>
      </c>
      <c r="Z117" s="38" t="s">
        <v>213</v>
      </c>
      <c r="AA117" s="38" t="n">
        <v>0.5</v>
      </c>
      <c r="AB117" s="39" t="n">
        <f aca="false">1-AA117*(1-INDEX('Perfil e pressupostos'!$C$14:$C$20,MATCH(Z117,'Perfil e pressupostos'!$A$14:$A$20,0)))</f>
        <v>0.525</v>
      </c>
      <c r="AC117" s="38" t="n">
        <v>0.2</v>
      </c>
      <c r="AD117" s="38" t="n">
        <v>0.5</v>
      </c>
      <c r="AE117" s="38" t="n">
        <v>0.7</v>
      </c>
      <c r="AF117" s="40" t="n">
        <f aca="false">100*('Perfil e pressupostos'!$F$14*AB117+'Perfil e pressupostos'!$F$15*AC117+'Perfil e pressupostos'!$F$16*AD117+'Perfil e pressupostos'!$F$17*AE117)/'Perfil e pressupostos'!$F$18</f>
        <v>44.75</v>
      </c>
      <c r="AG117" s="41" t="n">
        <f aca="false">INDEX('Perfil e pressupostos'!$B$25:$B$28,MATCH(V117,'Perfil e pressupostos'!$A$25:$A$28,0))</f>
        <v>0.01</v>
      </c>
      <c r="AH117" s="41" t="n">
        <f aca="false">MIN('Perfil e pressupostos'!$F$29,AG117*('Perfil e pressupostos'!$F$25+'Perfil e pressupostos'!$F$26*AF117/100)*IF(AD117&lt;='Perfil e pressupostos'!$F$28,'Perfil e pressupostos'!$F$27,1))</f>
        <v>0.00937</v>
      </c>
      <c r="AI117" s="35" t="str">
        <f aca="false">IF(AQ117=0,"—",IF(AH117&gt;='Perfil e pressupostos'!$F$30,"Boa",IF(AH117&gt;='Perfil e pressupostos'!$F$31,"Média","Baixa")))</f>
        <v>Baixa</v>
      </c>
      <c r="AJ117" s="7" t="s">
        <v>772</v>
      </c>
      <c r="AK117" s="7" t="s">
        <v>215</v>
      </c>
      <c r="AL117" s="35" t="str">
        <f aca="false">IF(AK117="Prazo expirado","Prazo passado",IF(LEFT(AK117,11)="Monitorizar","Monitorizar",IF(Y117&gt;=3.5,"Prioridade",IF(Y117&gt;=3,"Candidatar (reach)","Reserva"))))</f>
        <v>Reserva</v>
      </c>
      <c r="AM117" s="7" t="s">
        <v>548</v>
      </c>
      <c r="AN117" s="42" t="s">
        <v>804</v>
      </c>
      <c r="AO117" s="7" t="s">
        <v>187</v>
      </c>
      <c r="AP117" s="7" t="s">
        <v>218</v>
      </c>
      <c r="AQ117" s="7" t="n">
        <f aca="false">IF(OR(AK117="Prazo expirado",LEFT(AK117,11)="Monitorizar"),0,1)</f>
        <v>1</v>
      </c>
      <c r="AR117" s="41" t="n">
        <f aca="false">IF(AQ117=0,0,AH117)</f>
        <v>0.00937</v>
      </c>
      <c r="AS117" s="41" t="n">
        <f aca="false">AR117*W117/5</f>
        <v>0.007496</v>
      </c>
      <c r="AT117" s="43" t="n">
        <f aca="false">AS117+W117/1000000+(1000-ROW())/1000000000</f>
        <v>0.007500883</v>
      </c>
      <c r="AU117" s="35" t="n">
        <f aca="false">RANK(AT117,$AT$4:$AT$227)</f>
        <v>174</v>
      </c>
      <c r="AV117" s="40" t="n">
        <f aca="false">IF(AQ117=0,"",AF117)</f>
        <v>44.75</v>
      </c>
      <c r="AW117" s="41" t="n">
        <f aca="false">IF(AQ117=0,"",AH117)</f>
        <v>0.00937</v>
      </c>
    </row>
    <row r="118" customFormat="false" ht="33.75" hidden="false" customHeight="true" outlineLevel="0" collapsed="false">
      <c r="A118" s="35" t="n">
        <v>115</v>
      </c>
      <c r="B118" s="7" t="s">
        <v>447</v>
      </c>
      <c r="C118" s="7" t="s">
        <v>805</v>
      </c>
      <c r="D118" s="7" t="s">
        <v>191</v>
      </c>
      <c r="E118" s="7" t="s">
        <v>310</v>
      </c>
      <c r="F118" s="35" t="s">
        <v>85</v>
      </c>
      <c r="G118" s="7" t="s">
        <v>205</v>
      </c>
      <c r="H118" s="7" t="s">
        <v>172</v>
      </c>
      <c r="I118" s="7" t="s">
        <v>465</v>
      </c>
      <c r="J118" s="35" t="s">
        <v>207</v>
      </c>
      <c r="K118" s="7" t="s">
        <v>612</v>
      </c>
      <c r="L118" s="7" t="s">
        <v>613</v>
      </c>
      <c r="M118" s="7" t="s">
        <v>546</v>
      </c>
      <c r="N118" s="7" t="s">
        <v>215</v>
      </c>
      <c r="O118" s="7" t="s">
        <v>179</v>
      </c>
      <c r="P118" s="35" t="str">
        <f aca="true">IF(ISNUMBER(O118),O118-TODAY(),"")</f>
        <v/>
      </c>
      <c r="Q118" s="7" t="s">
        <v>179</v>
      </c>
      <c r="R118" s="36" t="n">
        <v>1500</v>
      </c>
      <c r="S118" s="36" t="n">
        <v>2500</v>
      </c>
      <c r="T118" s="37" t="n">
        <f aca="false">IF(R118="","",AVERAGE(R118,S118))</f>
        <v>2000</v>
      </c>
      <c r="U118" s="7" t="s">
        <v>547</v>
      </c>
      <c r="V118" s="38" t="s">
        <v>181</v>
      </c>
      <c r="W118" s="38" t="n">
        <v>4</v>
      </c>
      <c r="X118" s="38" t="n">
        <v>1.2</v>
      </c>
      <c r="Y118" s="35" t="n">
        <f aca="false">ROUND(0.6*W118+0.4*X118,1)</f>
        <v>2.9</v>
      </c>
      <c r="Z118" s="38" t="s">
        <v>213</v>
      </c>
      <c r="AA118" s="38" t="n">
        <v>0.5</v>
      </c>
      <c r="AB118" s="39" t="n">
        <f aca="false">1-AA118*(1-INDEX('Perfil e pressupostos'!$C$14:$C$20,MATCH(Z118,'Perfil e pressupostos'!$A$14:$A$20,0)))</f>
        <v>0.525</v>
      </c>
      <c r="AC118" s="38" t="n">
        <v>0.2</v>
      </c>
      <c r="AD118" s="38" t="n">
        <v>0.5</v>
      </c>
      <c r="AE118" s="38" t="n">
        <v>0.7</v>
      </c>
      <c r="AF118" s="40" t="n">
        <f aca="false">100*('Perfil e pressupostos'!$F$14*AB118+'Perfil e pressupostos'!$F$15*AC118+'Perfil e pressupostos'!$F$16*AD118+'Perfil e pressupostos'!$F$17*AE118)/'Perfil e pressupostos'!$F$18</f>
        <v>44.75</v>
      </c>
      <c r="AG118" s="41" t="n">
        <f aca="false">INDEX('Perfil e pressupostos'!$B$25:$B$28,MATCH(V118,'Perfil e pressupostos'!$A$25:$A$28,0))</f>
        <v>0.01</v>
      </c>
      <c r="AH118" s="41" t="n">
        <f aca="false">MIN('Perfil e pressupostos'!$F$29,AG118*('Perfil e pressupostos'!$F$25+'Perfil e pressupostos'!$F$26*AF118/100)*IF(AD118&lt;='Perfil e pressupostos'!$F$28,'Perfil e pressupostos'!$F$27,1))</f>
        <v>0.00937</v>
      </c>
      <c r="AI118" s="35" t="str">
        <f aca="false">IF(AQ118=0,"—",IF(AH118&gt;='Perfil e pressupostos'!$F$30,"Boa",IF(AH118&gt;='Perfil e pressupostos'!$F$31,"Média","Baixa")))</f>
        <v>Baixa</v>
      </c>
      <c r="AJ118" s="7" t="s">
        <v>772</v>
      </c>
      <c r="AK118" s="7" t="s">
        <v>215</v>
      </c>
      <c r="AL118" s="35" t="str">
        <f aca="false">IF(AK118="Prazo expirado","Prazo passado",IF(LEFT(AK118,11)="Monitorizar","Monitorizar",IF(Y118&gt;=3.5,"Prioridade",IF(Y118&gt;=3,"Candidatar (reach)","Reserva"))))</f>
        <v>Reserva</v>
      </c>
      <c r="AM118" s="7" t="s">
        <v>548</v>
      </c>
      <c r="AN118" s="42" t="s">
        <v>806</v>
      </c>
      <c r="AO118" s="7" t="s">
        <v>187</v>
      </c>
      <c r="AP118" s="7" t="s">
        <v>218</v>
      </c>
      <c r="AQ118" s="7" t="n">
        <f aca="false">IF(OR(AK118="Prazo expirado",LEFT(AK118,11)="Monitorizar"),0,1)</f>
        <v>1</v>
      </c>
      <c r="AR118" s="41" t="n">
        <f aca="false">IF(AQ118=0,0,AH118)</f>
        <v>0.00937</v>
      </c>
      <c r="AS118" s="41" t="n">
        <f aca="false">AR118*W118/5</f>
        <v>0.007496</v>
      </c>
      <c r="AT118" s="43" t="n">
        <f aca="false">AS118+W118/1000000+(1000-ROW())/1000000000</f>
        <v>0.007500882</v>
      </c>
      <c r="AU118" s="35" t="n">
        <f aca="false">RANK(AT118,$AT$4:$AT$227)</f>
        <v>175</v>
      </c>
      <c r="AV118" s="40" t="n">
        <f aca="false">IF(AQ118=0,"",AF118)</f>
        <v>44.75</v>
      </c>
      <c r="AW118" s="41" t="n">
        <f aca="false">IF(AQ118=0,"",AH118)</f>
        <v>0.00937</v>
      </c>
    </row>
    <row r="119" customFormat="false" ht="33.75" hidden="false" customHeight="true" outlineLevel="0" collapsed="false">
      <c r="A119" s="35" t="n">
        <v>116</v>
      </c>
      <c r="B119" s="7" t="s">
        <v>447</v>
      </c>
      <c r="C119" s="7" t="s">
        <v>807</v>
      </c>
      <c r="D119" s="7" t="s">
        <v>191</v>
      </c>
      <c r="E119" s="7" t="s">
        <v>310</v>
      </c>
      <c r="F119" s="35" t="s">
        <v>85</v>
      </c>
      <c r="G119" s="7" t="s">
        <v>205</v>
      </c>
      <c r="H119" s="7" t="s">
        <v>172</v>
      </c>
      <c r="I119" s="7" t="s">
        <v>465</v>
      </c>
      <c r="J119" s="35" t="s">
        <v>207</v>
      </c>
      <c r="K119" s="7" t="s">
        <v>612</v>
      </c>
      <c r="L119" s="7" t="s">
        <v>613</v>
      </c>
      <c r="M119" s="7" t="s">
        <v>546</v>
      </c>
      <c r="N119" s="7" t="s">
        <v>215</v>
      </c>
      <c r="O119" s="7" t="s">
        <v>179</v>
      </c>
      <c r="P119" s="35" t="str">
        <f aca="true">IF(ISNUMBER(O119),O119-TODAY(),"")</f>
        <v/>
      </c>
      <c r="Q119" s="7" t="s">
        <v>179</v>
      </c>
      <c r="R119" s="36" t="n">
        <v>1500</v>
      </c>
      <c r="S119" s="36" t="n">
        <v>2500</v>
      </c>
      <c r="T119" s="37" t="n">
        <f aca="false">IF(R119="","",AVERAGE(R119,S119))</f>
        <v>2000</v>
      </c>
      <c r="U119" s="7" t="s">
        <v>547</v>
      </c>
      <c r="V119" s="38" t="s">
        <v>181</v>
      </c>
      <c r="W119" s="38" t="n">
        <v>4</v>
      </c>
      <c r="X119" s="38" t="n">
        <v>1.2</v>
      </c>
      <c r="Y119" s="35" t="n">
        <f aca="false">ROUND(0.6*W119+0.4*X119,1)</f>
        <v>2.9</v>
      </c>
      <c r="Z119" s="38" t="s">
        <v>213</v>
      </c>
      <c r="AA119" s="38" t="n">
        <v>0.5</v>
      </c>
      <c r="AB119" s="39" t="n">
        <f aca="false">1-AA119*(1-INDEX('Perfil e pressupostos'!$C$14:$C$20,MATCH(Z119,'Perfil e pressupostos'!$A$14:$A$20,0)))</f>
        <v>0.525</v>
      </c>
      <c r="AC119" s="38" t="n">
        <v>0.2</v>
      </c>
      <c r="AD119" s="38" t="n">
        <v>0.5</v>
      </c>
      <c r="AE119" s="38" t="n">
        <v>0.7</v>
      </c>
      <c r="AF119" s="40" t="n">
        <f aca="false">100*('Perfil e pressupostos'!$F$14*AB119+'Perfil e pressupostos'!$F$15*AC119+'Perfil e pressupostos'!$F$16*AD119+'Perfil e pressupostos'!$F$17*AE119)/'Perfil e pressupostos'!$F$18</f>
        <v>44.75</v>
      </c>
      <c r="AG119" s="41" t="n">
        <f aca="false">INDEX('Perfil e pressupostos'!$B$25:$B$28,MATCH(V119,'Perfil e pressupostos'!$A$25:$A$28,0))</f>
        <v>0.01</v>
      </c>
      <c r="AH119" s="41" t="n">
        <f aca="false">MIN('Perfil e pressupostos'!$F$29,AG119*('Perfil e pressupostos'!$F$25+'Perfil e pressupostos'!$F$26*AF119/100)*IF(AD119&lt;='Perfil e pressupostos'!$F$28,'Perfil e pressupostos'!$F$27,1))</f>
        <v>0.00937</v>
      </c>
      <c r="AI119" s="35" t="str">
        <f aca="false">IF(AQ119=0,"—",IF(AH119&gt;='Perfil e pressupostos'!$F$30,"Boa",IF(AH119&gt;='Perfil e pressupostos'!$F$31,"Média","Baixa")))</f>
        <v>Baixa</v>
      </c>
      <c r="AJ119" s="7" t="s">
        <v>772</v>
      </c>
      <c r="AK119" s="7" t="s">
        <v>215</v>
      </c>
      <c r="AL119" s="35" t="str">
        <f aca="false">IF(AK119="Prazo expirado","Prazo passado",IF(LEFT(AK119,11)="Monitorizar","Monitorizar",IF(Y119&gt;=3.5,"Prioridade",IF(Y119&gt;=3,"Candidatar (reach)","Reserva"))))</f>
        <v>Reserva</v>
      </c>
      <c r="AM119" s="7" t="s">
        <v>548</v>
      </c>
      <c r="AN119" s="42" t="s">
        <v>808</v>
      </c>
      <c r="AO119" s="7" t="s">
        <v>187</v>
      </c>
      <c r="AP119" s="7" t="s">
        <v>218</v>
      </c>
      <c r="AQ119" s="7" t="n">
        <f aca="false">IF(OR(AK119="Prazo expirado",LEFT(AK119,11)="Monitorizar"),0,1)</f>
        <v>1</v>
      </c>
      <c r="AR119" s="41" t="n">
        <f aca="false">IF(AQ119=0,0,AH119)</f>
        <v>0.00937</v>
      </c>
      <c r="AS119" s="41" t="n">
        <f aca="false">AR119*W119/5</f>
        <v>0.007496</v>
      </c>
      <c r="AT119" s="43" t="n">
        <f aca="false">AS119+W119/1000000+(1000-ROW())/1000000000</f>
        <v>0.007500881</v>
      </c>
      <c r="AU119" s="35" t="n">
        <f aca="false">RANK(AT119,$AT$4:$AT$227)</f>
        <v>176</v>
      </c>
      <c r="AV119" s="40" t="n">
        <f aca="false">IF(AQ119=0,"",AF119)</f>
        <v>44.75</v>
      </c>
      <c r="AW119" s="41" t="n">
        <f aca="false">IF(AQ119=0,"",AH119)</f>
        <v>0.00937</v>
      </c>
    </row>
    <row r="120" customFormat="false" ht="33.75" hidden="false" customHeight="true" outlineLevel="0" collapsed="false">
      <c r="A120" s="35" t="n">
        <v>117</v>
      </c>
      <c r="B120" s="7" t="s">
        <v>447</v>
      </c>
      <c r="C120" s="7" t="s">
        <v>801</v>
      </c>
      <c r="D120" s="7" t="s">
        <v>191</v>
      </c>
      <c r="E120" s="7" t="s">
        <v>310</v>
      </c>
      <c r="F120" s="35" t="s">
        <v>93</v>
      </c>
      <c r="G120" s="7" t="s">
        <v>476</v>
      </c>
      <c r="H120" s="7" t="s">
        <v>172</v>
      </c>
      <c r="I120" s="7" t="s">
        <v>465</v>
      </c>
      <c r="J120" s="35" t="s">
        <v>207</v>
      </c>
      <c r="K120" s="7" t="s">
        <v>612</v>
      </c>
      <c r="L120" s="7" t="s">
        <v>613</v>
      </c>
      <c r="M120" s="7" t="s">
        <v>576</v>
      </c>
      <c r="N120" s="7" t="s">
        <v>215</v>
      </c>
      <c r="O120" s="7" t="s">
        <v>179</v>
      </c>
      <c r="P120" s="35" t="str">
        <f aca="true">IF(ISNUMBER(O120),O120-TODAY(),"")</f>
        <v/>
      </c>
      <c r="Q120" s="7" t="s">
        <v>179</v>
      </c>
      <c r="R120" s="36" t="n">
        <v>2000</v>
      </c>
      <c r="S120" s="36" t="n">
        <v>3000</v>
      </c>
      <c r="T120" s="37" t="n">
        <f aca="false">IF(R120="","",AVERAGE(R120,S120))</f>
        <v>2500</v>
      </c>
      <c r="U120" s="7" t="s">
        <v>547</v>
      </c>
      <c r="V120" s="38" t="s">
        <v>181</v>
      </c>
      <c r="W120" s="38" t="n">
        <v>4</v>
      </c>
      <c r="X120" s="38" t="n">
        <v>1.5</v>
      </c>
      <c r="Y120" s="35" t="n">
        <f aca="false">ROUND(0.6*W120+0.4*X120,1)</f>
        <v>3</v>
      </c>
      <c r="Z120" s="38" t="s">
        <v>182</v>
      </c>
      <c r="AA120" s="38" t="n">
        <v>1</v>
      </c>
      <c r="AB120" s="39" t="n">
        <f aca="false">1-AA120*(1-INDEX('Perfil e pressupostos'!$C$14:$C$20,MATCH(Z120,'Perfil e pressupostos'!$A$14:$A$20,0)))</f>
        <v>0.95</v>
      </c>
      <c r="AC120" s="38" t="n">
        <v>0.2</v>
      </c>
      <c r="AD120" s="38" t="n">
        <v>0.5</v>
      </c>
      <c r="AE120" s="38" t="n">
        <v>0.7</v>
      </c>
      <c r="AF120" s="40" t="n">
        <f aca="false">100*('Perfil e pressupostos'!$F$14*AB120+'Perfil e pressupostos'!$F$15*AC120+'Perfil e pressupostos'!$F$16*AD120+'Perfil e pressupostos'!$F$17*AE120)/'Perfil e pressupostos'!$F$18</f>
        <v>57.5</v>
      </c>
      <c r="AG120" s="41" t="n">
        <f aca="false">INDEX('Perfil e pressupostos'!$B$25:$B$28,MATCH(V120,'Perfil e pressupostos'!$A$25:$A$28,0))</f>
        <v>0.01</v>
      </c>
      <c r="AH120" s="41" t="n">
        <f aca="false">MIN('Perfil e pressupostos'!$F$29,AG120*('Perfil e pressupostos'!$F$25+'Perfil e pressupostos'!$F$26*AF120/100)*IF(AD120&lt;='Perfil e pressupostos'!$F$28,'Perfil e pressupostos'!$F$27,1))</f>
        <v>0.0109</v>
      </c>
      <c r="AI120" s="35" t="str">
        <f aca="false">IF(AQ120=0,"—",IF(AH120&gt;='Perfil e pressupostos'!$F$30,"Boa",IF(AH120&gt;='Perfil e pressupostos'!$F$31,"Média","Baixa")))</f>
        <v>Baixa</v>
      </c>
      <c r="AJ120" s="7" t="s">
        <v>656</v>
      </c>
      <c r="AK120" s="7" t="s">
        <v>215</v>
      </c>
      <c r="AL120" s="35" t="str">
        <f aca="false">IF(AK120="Prazo expirado","Prazo passado",IF(LEFT(AK120,11)="Monitorizar","Monitorizar",IF(Y120&gt;=3.5,"Prioridade",IF(Y120&gt;=3,"Candidatar (reach)","Reserva"))))</f>
        <v>Candidatar (reach)</v>
      </c>
      <c r="AM120" s="7" t="s">
        <v>548</v>
      </c>
      <c r="AN120" s="42" t="s">
        <v>809</v>
      </c>
      <c r="AO120" s="7" t="s">
        <v>187</v>
      </c>
      <c r="AP120" s="7" t="s">
        <v>218</v>
      </c>
      <c r="AQ120" s="7" t="n">
        <f aca="false">IF(OR(AK120="Prazo expirado",LEFT(AK120,11)="Monitorizar"),0,1)</f>
        <v>1</v>
      </c>
      <c r="AR120" s="41" t="n">
        <f aca="false">IF(AQ120=0,0,AH120)</f>
        <v>0.0109</v>
      </c>
      <c r="AS120" s="41" t="n">
        <f aca="false">AR120*W120/5</f>
        <v>0.00872</v>
      </c>
      <c r="AT120" s="43" t="n">
        <f aca="false">AS120+W120/1000000+(1000-ROW())/1000000000</f>
        <v>0.00872488</v>
      </c>
      <c r="AU120" s="35" t="n">
        <f aca="false">RANK(AT120,$AT$4:$AT$227)</f>
        <v>136</v>
      </c>
      <c r="AV120" s="40" t="n">
        <f aca="false">IF(AQ120=0,"",AF120)</f>
        <v>57.5</v>
      </c>
      <c r="AW120" s="41" t="n">
        <f aca="false">IF(AQ120=0,"",AH120)</f>
        <v>0.0109</v>
      </c>
    </row>
    <row r="121" customFormat="false" ht="33.75" hidden="false" customHeight="true" outlineLevel="0" collapsed="false">
      <c r="A121" s="35" t="n">
        <v>118</v>
      </c>
      <c r="B121" s="7" t="s">
        <v>447</v>
      </c>
      <c r="C121" s="7" t="s">
        <v>801</v>
      </c>
      <c r="D121" s="7" t="s">
        <v>191</v>
      </c>
      <c r="E121" s="7" t="s">
        <v>310</v>
      </c>
      <c r="F121" s="35" t="s">
        <v>83</v>
      </c>
      <c r="G121" s="7" t="s">
        <v>192</v>
      </c>
      <c r="H121" s="7" t="s">
        <v>172</v>
      </c>
      <c r="I121" s="7" t="s">
        <v>465</v>
      </c>
      <c r="J121" s="35" t="s">
        <v>207</v>
      </c>
      <c r="K121" s="7" t="s">
        <v>612</v>
      </c>
      <c r="L121" s="7" t="s">
        <v>613</v>
      </c>
      <c r="M121" s="7" t="s">
        <v>779</v>
      </c>
      <c r="N121" s="7" t="s">
        <v>215</v>
      </c>
      <c r="O121" s="7" t="s">
        <v>179</v>
      </c>
      <c r="P121" s="35" t="str">
        <f aca="true">IF(ISNUMBER(O121),O121-TODAY(),"")</f>
        <v/>
      </c>
      <c r="Q121" s="7" t="s">
        <v>179</v>
      </c>
      <c r="R121" s="36" t="n">
        <v>1000</v>
      </c>
      <c r="S121" s="36" t="n">
        <v>1800</v>
      </c>
      <c r="T121" s="37" t="n">
        <f aca="false">IF(R121="","",AVERAGE(R121,S121))</f>
        <v>1400</v>
      </c>
      <c r="U121" s="7" t="s">
        <v>547</v>
      </c>
      <c r="V121" s="38" t="s">
        <v>181</v>
      </c>
      <c r="W121" s="38" t="n">
        <v>4</v>
      </c>
      <c r="X121" s="38" t="n">
        <v>1.2</v>
      </c>
      <c r="Y121" s="35" t="n">
        <f aca="false">ROUND(0.6*W121+0.4*X121,1)</f>
        <v>2.9</v>
      </c>
      <c r="Z121" s="38" t="s">
        <v>200</v>
      </c>
      <c r="AA121" s="38" t="n">
        <v>0.6</v>
      </c>
      <c r="AB121" s="39" t="n">
        <f aca="false">1-AA121*(1-INDEX('Perfil e pressupostos'!$C$14:$C$20,MATCH(Z121,'Perfil e pressupostos'!$A$14:$A$20,0)))</f>
        <v>0.58</v>
      </c>
      <c r="AC121" s="38" t="n">
        <v>0.2</v>
      </c>
      <c r="AD121" s="38" t="n">
        <v>0.5</v>
      </c>
      <c r="AE121" s="38" t="n">
        <v>0.7</v>
      </c>
      <c r="AF121" s="40" t="n">
        <f aca="false">100*('Perfil e pressupostos'!$F$14*AB121+'Perfil e pressupostos'!$F$15*AC121+'Perfil e pressupostos'!$F$16*AD121+'Perfil e pressupostos'!$F$17*AE121)/'Perfil e pressupostos'!$F$18</f>
        <v>46.4</v>
      </c>
      <c r="AG121" s="41" t="n">
        <f aca="false">INDEX('Perfil e pressupostos'!$B$25:$B$28,MATCH(V121,'Perfil e pressupostos'!$A$25:$A$28,0))</f>
        <v>0.01</v>
      </c>
      <c r="AH121" s="41" t="n">
        <f aca="false">MIN('Perfil e pressupostos'!$F$29,AG121*('Perfil e pressupostos'!$F$25+'Perfil e pressupostos'!$F$26*AF121/100)*IF(AD121&lt;='Perfil e pressupostos'!$F$28,'Perfil e pressupostos'!$F$27,1))</f>
        <v>0.009568</v>
      </c>
      <c r="AI121" s="35" t="str">
        <f aca="false">IF(AQ121=0,"—",IF(AH121&gt;='Perfil e pressupostos'!$F$30,"Boa",IF(AH121&gt;='Perfil e pressupostos'!$F$31,"Média","Baixa")))</f>
        <v>Baixa</v>
      </c>
      <c r="AJ121" s="7" t="s">
        <v>810</v>
      </c>
      <c r="AK121" s="7" t="s">
        <v>215</v>
      </c>
      <c r="AL121" s="35" t="str">
        <f aca="false">IF(AK121="Prazo expirado","Prazo passado",IF(LEFT(AK121,11)="Monitorizar","Monitorizar",IF(Y121&gt;=3.5,"Prioridade",IF(Y121&gt;=3,"Candidatar (reach)","Reserva"))))</f>
        <v>Reserva</v>
      </c>
      <c r="AM121" s="7" t="s">
        <v>548</v>
      </c>
      <c r="AN121" s="42" t="s">
        <v>811</v>
      </c>
      <c r="AO121" s="7" t="s">
        <v>187</v>
      </c>
      <c r="AP121" s="7" t="s">
        <v>218</v>
      </c>
      <c r="AQ121" s="7" t="n">
        <f aca="false">IF(OR(AK121="Prazo expirado",LEFT(AK121,11)="Monitorizar"),0,1)</f>
        <v>1</v>
      </c>
      <c r="AR121" s="41" t="n">
        <f aca="false">IF(AQ121=0,0,AH121)</f>
        <v>0.009568</v>
      </c>
      <c r="AS121" s="41" t="n">
        <f aca="false">AR121*W121/5</f>
        <v>0.0076544</v>
      </c>
      <c r="AT121" s="43" t="n">
        <f aca="false">AS121+W121/1000000+(1000-ROW())/1000000000</f>
        <v>0.007659279</v>
      </c>
      <c r="AU121" s="35" t="n">
        <f aca="false">RANK(AT121,$AT$4:$AT$227)</f>
        <v>163</v>
      </c>
      <c r="AV121" s="40" t="n">
        <f aca="false">IF(AQ121=0,"",AF121)</f>
        <v>46.4</v>
      </c>
      <c r="AW121" s="41" t="n">
        <f aca="false">IF(AQ121=0,"",AH121)</f>
        <v>0.009568</v>
      </c>
    </row>
    <row r="122" customFormat="false" ht="33.75" hidden="false" customHeight="true" outlineLevel="0" collapsed="false">
      <c r="A122" s="35" t="n">
        <v>119</v>
      </c>
      <c r="B122" s="7" t="s">
        <v>447</v>
      </c>
      <c r="C122" s="7" t="s">
        <v>812</v>
      </c>
      <c r="D122" s="7" t="s">
        <v>769</v>
      </c>
      <c r="E122" s="7" t="s">
        <v>310</v>
      </c>
      <c r="F122" s="35" t="s">
        <v>85</v>
      </c>
      <c r="G122" s="7" t="s">
        <v>205</v>
      </c>
      <c r="H122" s="7" t="s">
        <v>172</v>
      </c>
      <c r="I122" s="7" t="s">
        <v>465</v>
      </c>
      <c r="J122" s="35" t="s">
        <v>207</v>
      </c>
      <c r="K122" s="7" t="s">
        <v>770</v>
      </c>
      <c r="L122" s="7" t="s">
        <v>771</v>
      </c>
      <c r="M122" s="7" t="s">
        <v>546</v>
      </c>
      <c r="N122" s="7" t="s">
        <v>215</v>
      </c>
      <c r="O122" s="7" t="s">
        <v>179</v>
      </c>
      <c r="P122" s="35" t="str">
        <f aca="true">IF(ISNUMBER(O122),O122-TODAY(),"")</f>
        <v/>
      </c>
      <c r="Q122" s="7" t="s">
        <v>179</v>
      </c>
      <c r="R122" s="36" t="n">
        <v>1500</v>
      </c>
      <c r="S122" s="36" t="n">
        <v>2500</v>
      </c>
      <c r="T122" s="37" t="n">
        <f aca="false">IF(R122="","",AVERAGE(R122,S122))</f>
        <v>2000</v>
      </c>
      <c r="U122" s="7" t="s">
        <v>547</v>
      </c>
      <c r="V122" s="38" t="s">
        <v>181</v>
      </c>
      <c r="W122" s="38" t="n">
        <v>3</v>
      </c>
      <c r="X122" s="38" t="n">
        <v>1.2</v>
      </c>
      <c r="Y122" s="35" t="n">
        <f aca="false">ROUND(0.6*W122+0.4*X122,1)</f>
        <v>2.3</v>
      </c>
      <c r="Z122" s="38" t="s">
        <v>213</v>
      </c>
      <c r="AA122" s="38" t="n">
        <v>0.5</v>
      </c>
      <c r="AB122" s="39" t="n">
        <f aca="false">1-AA122*(1-INDEX('Perfil e pressupostos'!$C$14:$C$20,MATCH(Z122,'Perfil e pressupostos'!$A$14:$A$20,0)))</f>
        <v>0.525</v>
      </c>
      <c r="AC122" s="38" t="n">
        <v>0.2</v>
      </c>
      <c r="AD122" s="38" t="n">
        <v>0.5</v>
      </c>
      <c r="AE122" s="38" t="n">
        <v>0.85</v>
      </c>
      <c r="AF122" s="40" t="n">
        <f aca="false">100*('Perfil e pressupostos'!$F$14*AB122+'Perfil e pressupostos'!$F$15*AC122+'Perfil e pressupostos'!$F$16*AD122+'Perfil e pressupostos'!$F$17*AE122)/'Perfil e pressupostos'!$F$18</f>
        <v>47</v>
      </c>
      <c r="AG122" s="41" t="n">
        <f aca="false">INDEX('Perfil e pressupostos'!$B$25:$B$28,MATCH(V122,'Perfil e pressupostos'!$A$25:$A$28,0))</f>
        <v>0.01</v>
      </c>
      <c r="AH122" s="41" t="n">
        <f aca="false">MIN('Perfil e pressupostos'!$F$29,AG122*('Perfil e pressupostos'!$F$25+'Perfil e pressupostos'!$F$26*AF122/100)*IF(AD122&lt;='Perfil e pressupostos'!$F$28,'Perfil e pressupostos'!$F$27,1))</f>
        <v>0.00964</v>
      </c>
      <c r="AI122" s="35" t="str">
        <f aca="false">IF(AQ122=0,"—",IF(AH122&gt;='Perfil e pressupostos'!$F$30,"Boa",IF(AH122&gt;='Perfil e pressupostos'!$F$31,"Média","Baixa")))</f>
        <v>Baixa</v>
      </c>
      <c r="AJ122" s="7" t="s">
        <v>772</v>
      </c>
      <c r="AK122" s="7" t="s">
        <v>215</v>
      </c>
      <c r="AL122" s="35" t="str">
        <f aca="false">IF(AK122="Prazo expirado","Prazo passado",IF(LEFT(AK122,11)="Monitorizar","Monitorizar",IF(Y122&gt;=3.5,"Prioridade",IF(Y122&gt;=3,"Candidatar (reach)","Reserva"))))</f>
        <v>Reserva</v>
      </c>
      <c r="AM122" s="7" t="s">
        <v>548</v>
      </c>
      <c r="AN122" s="42" t="s">
        <v>813</v>
      </c>
      <c r="AO122" s="7" t="s">
        <v>187</v>
      </c>
      <c r="AP122" s="7" t="s">
        <v>218</v>
      </c>
      <c r="AQ122" s="7" t="n">
        <f aca="false">IF(OR(AK122="Prazo expirado",LEFT(AK122,11)="Monitorizar"),0,1)</f>
        <v>1</v>
      </c>
      <c r="AR122" s="41" t="n">
        <f aca="false">IF(AQ122=0,0,AH122)</f>
        <v>0.00964</v>
      </c>
      <c r="AS122" s="41" t="n">
        <f aca="false">AR122*W122/5</f>
        <v>0.005784</v>
      </c>
      <c r="AT122" s="43" t="n">
        <f aca="false">AS122+W122/1000000+(1000-ROW())/1000000000</f>
        <v>0.005787878</v>
      </c>
      <c r="AU122" s="35" t="n">
        <f aca="false">RANK(AT122,$AT$4:$AT$227)</f>
        <v>194</v>
      </c>
      <c r="AV122" s="40" t="n">
        <f aca="false">IF(AQ122=0,"",AF122)</f>
        <v>47</v>
      </c>
      <c r="AW122" s="41" t="n">
        <f aca="false">IF(AQ122=0,"",AH122)</f>
        <v>0.00964</v>
      </c>
    </row>
    <row r="123" customFormat="false" ht="33.75" hidden="false" customHeight="true" outlineLevel="0" collapsed="false">
      <c r="A123" s="35" t="n">
        <v>120</v>
      </c>
      <c r="B123" s="7" t="s">
        <v>447</v>
      </c>
      <c r="C123" s="7" t="s">
        <v>814</v>
      </c>
      <c r="D123" s="7" t="s">
        <v>769</v>
      </c>
      <c r="E123" s="7" t="s">
        <v>310</v>
      </c>
      <c r="F123" s="35" t="s">
        <v>85</v>
      </c>
      <c r="G123" s="7" t="s">
        <v>205</v>
      </c>
      <c r="H123" s="7" t="s">
        <v>172</v>
      </c>
      <c r="I123" s="7" t="s">
        <v>465</v>
      </c>
      <c r="J123" s="35" t="s">
        <v>207</v>
      </c>
      <c r="K123" s="7" t="s">
        <v>770</v>
      </c>
      <c r="L123" s="7" t="s">
        <v>771</v>
      </c>
      <c r="M123" s="7" t="s">
        <v>546</v>
      </c>
      <c r="N123" s="7" t="s">
        <v>215</v>
      </c>
      <c r="O123" s="7" t="s">
        <v>179</v>
      </c>
      <c r="P123" s="35" t="str">
        <f aca="true">IF(ISNUMBER(O123),O123-TODAY(),"")</f>
        <v/>
      </c>
      <c r="Q123" s="7" t="s">
        <v>179</v>
      </c>
      <c r="R123" s="36" t="n">
        <v>1500</v>
      </c>
      <c r="S123" s="36" t="n">
        <v>2500</v>
      </c>
      <c r="T123" s="37" t="n">
        <f aca="false">IF(R123="","",AVERAGE(R123,S123))</f>
        <v>2000</v>
      </c>
      <c r="U123" s="7" t="s">
        <v>547</v>
      </c>
      <c r="V123" s="38" t="s">
        <v>181</v>
      </c>
      <c r="W123" s="38" t="n">
        <v>3</v>
      </c>
      <c r="X123" s="38" t="n">
        <v>1.2</v>
      </c>
      <c r="Y123" s="35" t="n">
        <f aca="false">ROUND(0.6*W123+0.4*X123,1)</f>
        <v>2.3</v>
      </c>
      <c r="Z123" s="38" t="s">
        <v>213</v>
      </c>
      <c r="AA123" s="38" t="n">
        <v>0.5</v>
      </c>
      <c r="AB123" s="39" t="n">
        <f aca="false">1-AA123*(1-INDEX('Perfil e pressupostos'!$C$14:$C$20,MATCH(Z123,'Perfil e pressupostos'!$A$14:$A$20,0)))</f>
        <v>0.525</v>
      </c>
      <c r="AC123" s="38" t="n">
        <v>0.2</v>
      </c>
      <c r="AD123" s="38" t="n">
        <v>0.5</v>
      </c>
      <c r="AE123" s="38" t="n">
        <v>0.85</v>
      </c>
      <c r="AF123" s="40" t="n">
        <f aca="false">100*('Perfil e pressupostos'!$F$14*AB123+'Perfil e pressupostos'!$F$15*AC123+'Perfil e pressupostos'!$F$16*AD123+'Perfil e pressupostos'!$F$17*AE123)/'Perfil e pressupostos'!$F$18</f>
        <v>47</v>
      </c>
      <c r="AG123" s="41" t="n">
        <f aca="false">INDEX('Perfil e pressupostos'!$B$25:$B$28,MATCH(V123,'Perfil e pressupostos'!$A$25:$A$28,0))</f>
        <v>0.01</v>
      </c>
      <c r="AH123" s="41" t="n">
        <f aca="false">MIN('Perfil e pressupostos'!$F$29,AG123*('Perfil e pressupostos'!$F$25+'Perfil e pressupostos'!$F$26*AF123/100)*IF(AD123&lt;='Perfil e pressupostos'!$F$28,'Perfil e pressupostos'!$F$27,1))</f>
        <v>0.00964</v>
      </c>
      <c r="AI123" s="35" t="str">
        <f aca="false">IF(AQ123=0,"—",IF(AH123&gt;='Perfil e pressupostos'!$F$30,"Boa",IF(AH123&gt;='Perfil e pressupostos'!$F$31,"Média","Baixa")))</f>
        <v>Baixa</v>
      </c>
      <c r="AJ123" s="7" t="s">
        <v>772</v>
      </c>
      <c r="AK123" s="7" t="s">
        <v>215</v>
      </c>
      <c r="AL123" s="35" t="str">
        <f aca="false">IF(AK123="Prazo expirado","Prazo passado",IF(LEFT(AK123,11)="Monitorizar","Monitorizar",IF(Y123&gt;=3.5,"Prioridade",IF(Y123&gt;=3,"Candidatar (reach)","Reserva"))))</f>
        <v>Reserva</v>
      </c>
      <c r="AM123" s="7" t="s">
        <v>548</v>
      </c>
      <c r="AN123" s="42" t="s">
        <v>815</v>
      </c>
      <c r="AO123" s="7" t="s">
        <v>187</v>
      </c>
      <c r="AP123" s="7" t="s">
        <v>218</v>
      </c>
      <c r="AQ123" s="7" t="n">
        <f aca="false">IF(OR(AK123="Prazo expirado",LEFT(AK123,11)="Monitorizar"),0,1)</f>
        <v>1</v>
      </c>
      <c r="AR123" s="41" t="n">
        <f aca="false">IF(AQ123=0,0,AH123)</f>
        <v>0.00964</v>
      </c>
      <c r="AS123" s="41" t="n">
        <f aca="false">AR123*W123/5</f>
        <v>0.005784</v>
      </c>
      <c r="AT123" s="43" t="n">
        <f aca="false">AS123+W123/1000000+(1000-ROW())/1000000000</f>
        <v>0.005787877</v>
      </c>
      <c r="AU123" s="35" t="n">
        <f aca="false">RANK(AT123,$AT$4:$AT$227)</f>
        <v>195</v>
      </c>
      <c r="AV123" s="40" t="n">
        <f aca="false">IF(AQ123=0,"",AF123)</f>
        <v>47</v>
      </c>
      <c r="AW123" s="41" t="n">
        <f aca="false">IF(AQ123=0,"",AH123)</f>
        <v>0.00964</v>
      </c>
    </row>
    <row r="124" customFormat="false" ht="45" hidden="false" customHeight="true" outlineLevel="0" collapsed="false">
      <c r="A124" s="35" t="n">
        <v>121</v>
      </c>
      <c r="B124" s="7" t="s">
        <v>243</v>
      </c>
      <c r="C124" s="7" t="s">
        <v>816</v>
      </c>
      <c r="D124" s="7" t="s">
        <v>582</v>
      </c>
      <c r="E124" s="7" t="s">
        <v>170</v>
      </c>
      <c r="F124" s="35" t="s">
        <v>85</v>
      </c>
      <c r="G124" s="7" t="s">
        <v>205</v>
      </c>
      <c r="H124" s="7" t="s">
        <v>172</v>
      </c>
      <c r="I124" s="7" t="s">
        <v>817</v>
      </c>
      <c r="J124" s="35" t="s">
        <v>174</v>
      </c>
      <c r="K124" s="7" t="s">
        <v>818</v>
      </c>
      <c r="L124" s="7" t="s">
        <v>819</v>
      </c>
      <c r="M124" s="7" t="s">
        <v>820</v>
      </c>
      <c r="N124" s="7" t="s">
        <v>267</v>
      </c>
      <c r="O124" s="7" t="s">
        <v>179</v>
      </c>
      <c r="P124" s="35" t="str">
        <f aca="true">IF(ISNUMBER(O124),O124-TODAY(),"")</f>
        <v/>
      </c>
      <c r="Q124" s="7" t="s">
        <v>179</v>
      </c>
      <c r="R124" s="36" t="n">
        <v>1500</v>
      </c>
      <c r="S124" s="36" t="n">
        <v>2500</v>
      </c>
      <c r="T124" s="37" t="n">
        <f aca="false">IF(R124="","",AVERAGE(R124,S124))</f>
        <v>2000</v>
      </c>
      <c r="U124" s="7" t="s">
        <v>547</v>
      </c>
      <c r="V124" s="38" t="s">
        <v>181</v>
      </c>
      <c r="W124" s="38" t="n">
        <v>4</v>
      </c>
      <c r="X124" s="38" t="n">
        <v>1</v>
      </c>
      <c r="Y124" s="35" t="n">
        <f aca="false">ROUND(0.6*W124+0.4*X124,1)</f>
        <v>2.8</v>
      </c>
      <c r="Z124" s="38" t="s">
        <v>213</v>
      </c>
      <c r="AA124" s="38" t="n">
        <v>1</v>
      </c>
      <c r="AB124" s="39" t="n">
        <f aca="false">1-AA124*(1-INDEX('Perfil e pressupostos'!$C$14:$C$20,MATCH(Z124,'Perfil e pressupostos'!$A$14:$A$20,0)))</f>
        <v>0.05</v>
      </c>
      <c r="AC124" s="38" t="n">
        <v>0.1</v>
      </c>
      <c r="AD124" s="38" t="n">
        <v>0.5</v>
      </c>
      <c r="AE124" s="38" t="n">
        <v>0.7</v>
      </c>
      <c r="AF124" s="40" t="n">
        <f aca="false">100*('Perfil e pressupostos'!$F$14*AB124+'Perfil e pressupostos'!$F$15*AC124+'Perfil e pressupostos'!$F$16*AD124+'Perfil e pressupostos'!$F$17*AE124)/'Perfil e pressupostos'!$F$18</f>
        <v>27.5</v>
      </c>
      <c r="AG124" s="41" t="n">
        <f aca="false">INDEX('Perfil e pressupostos'!$B$25:$B$28,MATCH(V124,'Perfil e pressupostos'!$A$25:$A$28,0))</f>
        <v>0.01</v>
      </c>
      <c r="AH124" s="41" t="n">
        <f aca="false">MIN('Perfil e pressupostos'!$F$29,AG124*('Perfil e pressupostos'!$F$25+'Perfil e pressupostos'!$F$26*AF124/100)*IF(AD124&lt;='Perfil e pressupostos'!$F$28,'Perfil e pressupostos'!$F$27,1))</f>
        <v>0.0073</v>
      </c>
      <c r="AI124" s="35" t="str">
        <f aca="false">IF(AQ124=0,"—",IF(AH124&gt;='Perfil e pressupostos'!$F$30,"Boa",IF(AH124&gt;='Perfil e pressupostos'!$F$31,"Média","Baixa")))</f>
        <v>Baixa</v>
      </c>
      <c r="AJ124" s="7" t="s">
        <v>251</v>
      </c>
      <c r="AK124" s="7" t="s">
        <v>184</v>
      </c>
      <c r="AL124" s="35" t="str">
        <f aca="false">IF(AK124="Prazo expirado","Prazo passado",IF(LEFT(AK124,11)="Monitorizar","Monitorizar",IF(Y124&gt;=3.5,"Prioridade",IF(Y124&gt;=3,"Candidatar (reach)","Reserva"))))</f>
        <v>Reserva</v>
      </c>
      <c r="AM124" s="7" t="s">
        <v>548</v>
      </c>
      <c r="AN124" s="42" t="s">
        <v>821</v>
      </c>
      <c r="AO124" s="7" t="s">
        <v>187</v>
      </c>
      <c r="AP124" s="7" t="s">
        <v>188</v>
      </c>
      <c r="AQ124" s="7" t="n">
        <f aca="false">IF(OR(AK124="Prazo expirado",LEFT(AK124,11)="Monitorizar"),0,1)</f>
        <v>1</v>
      </c>
      <c r="AR124" s="41" t="n">
        <f aca="false">IF(AQ124=0,0,AH124)</f>
        <v>0.0073</v>
      </c>
      <c r="AS124" s="41" t="n">
        <f aca="false">AR124*W124/5</f>
        <v>0.00584</v>
      </c>
      <c r="AT124" s="43" t="n">
        <f aca="false">AS124+W124/1000000+(1000-ROW())/1000000000</f>
        <v>0.005844876</v>
      </c>
      <c r="AU124" s="35" t="n">
        <f aca="false">RANK(AT124,$AT$4:$AT$227)</f>
        <v>190</v>
      </c>
      <c r="AV124" s="40" t="n">
        <f aca="false">IF(AQ124=0,"",AF124)</f>
        <v>27.5</v>
      </c>
      <c r="AW124" s="41" t="n">
        <f aca="false">IF(AQ124=0,"",AH124)</f>
        <v>0.0073</v>
      </c>
    </row>
    <row r="125" customFormat="false" ht="45" hidden="false" customHeight="true" outlineLevel="0" collapsed="false">
      <c r="A125" s="35" t="n">
        <v>122</v>
      </c>
      <c r="B125" s="7" t="s">
        <v>243</v>
      </c>
      <c r="C125" s="7" t="s">
        <v>822</v>
      </c>
      <c r="D125" s="7" t="s">
        <v>603</v>
      </c>
      <c r="E125" s="7" t="s">
        <v>170</v>
      </c>
      <c r="F125" s="35" t="s">
        <v>85</v>
      </c>
      <c r="G125" s="7" t="s">
        <v>205</v>
      </c>
      <c r="H125" s="7" t="s">
        <v>172</v>
      </c>
      <c r="I125" s="7" t="s">
        <v>173</v>
      </c>
      <c r="J125" s="35" t="s">
        <v>174</v>
      </c>
      <c r="K125" s="7" t="s">
        <v>604</v>
      </c>
      <c r="L125" s="7" t="s">
        <v>605</v>
      </c>
      <c r="M125" s="7" t="s">
        <v>546</v>
      </c>
      <c r="N125" s="7" t="s">
        <v>215</v>
      </c>
      <c r="O125" s="7" t="s">
        <v>179</v>
      </c>
      <c r="P125" s="35" t="str">
        <f aca="true">IF(ISNUMBER(O125),O125-TODAY(),"")</f>
        <v/>
      </c>
      <c r="Q125" s="7" t="s">
        <v>179</v>
      </c>
      <c r="R125" s="36" t="n">
        <v>1500</v>
      </c>
      <c r="S125" s="36" t="n">
        <v>2500</v>
      </c>
      <c r="T125" s="37" t="n">
        <f aca="false">IF(R125="","",AVERAGE(R125,S125))</f>
        <v>2000</v>
      </c>
      <c r="U125" s="7" t="s">
        <v>547</v>
      </c>
      <c r="V125" s="38" t="s">
        <v>199</v>
      </c>
      <c r="W125" s="38" t="n">
        <v>3.5</v>
      </c>
      <c r="X125" s="38" t="n">
        <v>1.1</v>
      </c>
      <c r="Y125" s="35" t="n">
        <f aca="false">ROUND(0.6*W125+0.4*X125,1)</f>
        <v>2.5</v>
      </c>
      <c r="Z125" s="38" t="s">
        <v>213</v>
      </c>
      <c r="AA125" s="38" t="n">
        <v>1</v>
      </c>
      <c r="AB125" s="39" t="n">
        <f aca="false">1-AA125*(1-INDEX('Perfil e pressupostos'!$C$14:$C$20,MATCH(Z125,'Perfil e pressupostos'!$A$14:$A$20,0)))</f>
        <v>0.05</v>
      </c>
      <c r="AC125" s="38" t="n">
        <v>0.3</v>
      </c>
      <c r="AD125" s="38" t="n">
        <v>0.4</v>
      </c>
      <c r="AE125" s="38" t="n">
        <v>0.7</v>
      </c>
      <c r="AF125" s="40" t="n">
        <f aca="false">100*('Perfil e pressupostos'!$F$14*AB125+'Perfil e pressupostos'!$F$15*AC125+'Perfil e pressupostos'!$F$16*AD125+'Perfil e pressupostos'!$F$17*AE125)/'Perfil e pressupostos'!$F$18</f>
        <v>31</v>
      </c>
      <c r="AG125" s="41" t="n">
        <f aca="false">INDEX('Perfil e pressupostos'!$B$25:$B$28,MATCH(V125,'Perfil e pressupostos'!$A$25:$A$28,0))</f>
        <v>0.03</v>
      </c>
      <c r="AH125" s="41" t="n">
        <f aca="false">MIN('Perfil e pressupostos'!$F$29,AG125*('Perfil e pressupostos'!$F$25+'Perfil e pressupostos'!$F$26*AF125/100)*IF(AD125&lt;='Perfil e pressupostos'!$F$28,'Perfil e pressupostos'!$F$27,1))</f>
        <v>0.02316</v>
      </c>
      <c r="AI125" s="35" t="str">
        <f aca="false">IF(AQ125=0,"—",IF(AH125&gt;='Perfil e pressupostos'!$F$30,"Boa",IF(AH125&gt;='Perfil e pressupostos'!$F$31,"Média","Baixa")))</f>
        <v>Baixa</v>
      </c>
      <c r="AJ125" s="7" t="s">
        <v>358</v>
      </c>
      <c r="AK125" s="7" t="s">
        <v>215</v>
      </c>
      <c r="AL125" s="35" t="str">
        <f aca="false">IF(AK125="Prazo expirado","Prazo passado",IF(LEFT(AK125,11)="Monitorizar","Monitorizar",IF(Y125&gt;=3.5,"Prioridade",IF(Y125&gt;=3,"Candidatar (reach)","Reserva"))))</f>
        <v>Reserva</v>
      </c>
      <c r="AM125" s="7" t="s">
        <v>548</v>
      </c>
      <c r="AN125" s="42" t="s">
        <v>823</v>
      </c>
      <c r="AO125" s="7" t="s">
        <v>187</v>
      </c>
      <c r="AP125" s="7" t="s">
        <v>218</v>
      </c>
      <c r="AQ125" s="7" t="n">
        <f aca="false">IF(OR(AK125="Prazo expirado",LEFT(AK125,11)="Monitorizar"),0,1)</f>
        <v>1</v>
      </c>
      <c r="AR125" s="41" t="n">
        <f aca="false">IF(AQ125=0,0,AH125)</f>
        <v>0.02316</v>
      </c>
      <c r="AS125" s="41" t="n">
        <f aca="false">AR125*W125/5</f>
        <v>0.016212</v>
      </c>
      <c r="AT125" s="43" t="n">
        <f aca="false">AS125+W125/1000000+(1000-ROW())/1000000000</f>
        <v>0.016216375</v>
      </c>
      <c r="AU125" s="35" t="n">
        <f aca="false">RANK(AT125,$AT$4:$AT$227)</f>
        <v>93</v>
      </c>
      <c r="AV125" s="40" t="n">
        <f aca="false">IF(AQ125=0,"",AF125)</f>
        <v>31</v>
      </c>
      <c r="AW125" s="41" t="n">
        <f aca="false">IF(AQ125=0,"",AH125)</f>
        <v>0.02316</v>
      </c>
    </row>
    <row r="126" customFormat="false" ht="45" hidden="false" customHeight="true" outlineLevel="0" collapsed="false">
      <c r="A126" s="35" t="n">
        <v>123</v>
      </c>
      <c r="B126" s="7" t="s">
        <v>243</v>
      </c>
      <c r="C126" s="7" t="s">
        <v>824</v>
      </c>
      <c r="D126" s="7" t="s">
        <v>582</v>
      </c>
      <c r="E126" s="7" t="s">
        <v>170</v>
      </c>
      <c r="F126" s="35" t="s">
        <v>93</v>
      </c>
      <c r="G126" s="7" t="s">
        <v>476</v>
      </c>
      <c r="H126" s="7" t="s">
        <v>172</v>
      </c>
      <c r="I126" s="7" t="s">
        <v>215</v>
      </c>
      <c r="J126" s="35" t="s">
        <v>174</v>
      </c>
      <c r="K126" s="7" t="s">
        <v>583</v>
      </c>
      <c r="L126" s="7" t="s">
        <v>584</v>
      </c>
      <c r="M126" s="7" t="s">
        <v>576</v>
      </c>
      <c r="N126" s="7" t="s">
        <v>215</v>
      </c>
      <c r="O126" s="7" t="s">
        <v>179</v>
      </c>
      <c r="P126" s="35" t="str">
        <f aca="true">IF(ISNUMBER(O126),O126-TODAY(),"")</f>
        <v/>
      </c>
      <c r="Q126" s="7" t="s">
        <v>179</v>
      </c>
      <c r="R126" s="36" t="n">
        <v>2000</v>
      </c>
      <c r="S126" s="36" t="n">
        <v>3000</v>
      </c>
      <c r="T126" s="37" t="n">
        <f aca="false">IF(R126="","",AVERAGE(R126,S126))</f>
        <v>2500</v>
      </c>
      <c r="U126" s="7" t="s">
        <v>547</v>
      </c>
      <c r="V126" s="38" t="s">
        <v>181</v>
      </c>
      <c r="W126" s="38" t="n">
        <v>4</v>
      </c>
      <c r="X126" s="38" t="n">
        <v>1.5</v>
      </c>
      <c r="Y126" s="35" t="n">
        <f aca="false">ROUND(0.6*W126+0.4*X126,1)</f>
        <v>3</v>
      </c>
      <c r="Z126" s="38" t="s">
        <v>182</v>
      </c>
      <c r="AA126" s="38" t="n">
        <v>0.7</v>
      </c>
      <c r="AB126" s="39" t="n">
        <f aca="false">1-AA126*(1-INDEX('Perfil e pressupostos'!$C$14:$C$20,MATCH(Z126,'Perfil e pressupostos'!$A$14:$A$20,0)))</f>
        <v>0.965</v>
      </c>
      <c r="AC126" s="38" t="n">
        <v>0.3</v>
      </c>
      <c r="AD126" s="38" t="n">
        <v>0.5</v>
      </c>
      <c r="AE126" s="38" t="n">
        <v>0.7</v>
      </c>
      <c r="AF126" s="40" t="n">
        <f aca="false">100*('Perfil e pressupostos'!$F$14*AB126+'Perfil e pressupostos'!$F$15*AC126+'Perfil e pressupostos'!$F$16*AD126+'Perfil e pressupostos'!$F$17*AE126)/'Perfil e pressupostos'!$F$18</f>
        <v>60.95</v>
      </c>
      <c r="AG126" s="41" t="n">
        <f aca="false">INDEX('Perfil e pressupostos'!$B$25:$B$28,MATCH(V126,'Perfil e pressupostos'!$A$25:$A$28,0))</f>
        <v>0.01</v>
      </c>
      <c r="AH126" s="41" t="n">
        <f aca="false">MIN('Perfil e pressupostos'!$F$29,AG126*('Perfil e pressupostos'!$F$25+'Perfil e pressupostos'!$F$26*AF126/100)*IF(AD126&lt;='Perfil e pressupostos'!$F$28,'Perfil e pressupostos'!$F$27,1))</f>
        <v>0.011314</v>
      </c>
      <c r="AI126" s="35" t="str">
        <f aca="false">IF(AQ126=0,"—",IF(AH126&gt;='Perfil e pressupostos'!$F$30,"Boa",IF(AH126&gt;='Perfil e pressupostos'!$F$31,"Média","Baixa")))</f>
        <v>Baixa</v>
      </c>
      <c r="AJ126" s="7" t="s">
        <v>825</v>
      </c>
      <c r="AK126" s="7" t="s">
        <v>215</v>
      </c>
      <c r="AL126" s="35" t="str">
        <f aca="false">IF(AK126="Prazo expirado","Prazo passado",IF(LEFT(AK126,11)="Monitorizar","Monitorizar",IF(Y126&gt;=3.5,"Prioridade",IF(Y126&gt;=3,"Candidatar (reach)","Reserva"))))</f>
        <v>Candidatar (reach)</v>
      </c>
      <c r="AM126" s="7" t="s">
        <v>548</v>
      </c>
      <c r="AN126" s="42" t="s">
        <v>826</v>
      </c>
      <c r="AO126" s="7" t="s">
        <v>187</v>
      </c>
      <c r="AP126" s="7" t="s">
        <v>218</v>
      </c>
      <c r="AQ126" s="7" t="n">
        <f aca="false">IF(OR(AK126="Prazo expirado",LEFT(AK126,11)="Monitorizar"),0,1)</f>
        <v>1</v>
      </c>
      <c r="AR126" s="41" t="n">
        <f aca="false">IF(AQ126=0,0,AH126)</f>
        <v>0.011314</v>
      </c>
      <c r="AS126" s="41" t="n">
        <f aca="false">AR126*W126/5</f>
        <v>0.0090512</v>
      </c>
      <c r="AT126" s="43" t="n">
        <f aca="false">AS126+W126/1000000+(1000-ROW())/1000000000</f>
        <v>0.009056074</v>
      </c>
      <c r="AU126" s="35" t="n">
        <f aca="false">RANK(AT126,$AT$4:$AT$227)</f>
        <v>125</v>
      </c>
      <c r="AV126" s="40" t="n">
        <f aca="false">IF(AQ126=0,"",AF126)</f>
        <v>60.95</v>
      </c>
      <c r="AW126" s="41" t="n">
        <f aca="false">IF(AQ126=0,"",AH126)</f>
        <v>0.011314</v>
      </c>
    </row>
    <row r="127" customFormat="false" ht="45" hidden="false" customHeight="true" outlineLevel="0" collapsed="false">
      <c r="A127" s="35" t="n">
        <v>124</v>
      </c>
      <c r="B127" s="7" t="s">
        <v>243</v>
      </c>
      <c r="C127" s="7" t="s">
        <v>827</v>
      </c>
      <c r="D127" s="7" t="s">
        <v>582</v>
      </c>
      <c r="E127" s="7" t="s">
        <v>170</v>
      </c>
      <c r="F127" s="35" t="s">
        <v>100</v>
      </c>
      <c r="G127" s="7" t="s">
        <v>735</v>
      </c>
      <c r="H127" s="7" t="s">
        <v>172</v>
      </c>
      <c r="I127" s="7" t="s">
        <v>215</v>
      </c>
      <c r="J127" s="35" t="s">
        <v>828</v>
      </c>
      <c r="K127" s="7" t="s">
        <v>583</v>
      </c>
      <c r="L127" s="7" t="s">
        <v>584</v>
      </c>
      <c r="M127" s="7" t="s">
        <v>736</v>
      </c>
      <c r="N127" s="7" t="s">
        <v>215</v>
      </c>
      <c r="O127" s="7" t="s">
        <v>179</v>
      </c>
      <c r="P127" s="35" t="str">
        <f aca="true">IF(ISNUMBER(O127),O127-TODAY(),"")</f>
        <v/>
      </c>
      <c r="Q127" s="7" t="s">
        <v>179</v>
      </c>
      <c r="R127" s="36" t="n">
        <v>1800</v>
      </c>
      <c r="S127" s="36" t="n">
        <v>2500</v>
      </c>
      <c r="T127" s="37" t="n">
        <f aca="false">IF(R127="","",AVERAGE(R127,S127))</f>
        <v>2150</v>
      </c>
      <c r="U127" s="7" t="s">
        <v>547</v>
      </c>
      <c r="V127" s="38" t="s">
        <v>181</v>
      </c>
      <c r="W127" s="38" t="n">
        <v>4</v>
      </c>
      <c r="X127" s="38" t="n">
        <v>1.2</v>
      </c>
      <c r="Y127" s="35" t="n">
        <f aca="false">ROUND(0.6*W127+0.4*X127,1)</f>
        <v>2.9</v>
      </c>
      <c r="Z127" s="38" t="s">
        <v>737</v>
      </c>
      <c r="AA127" s="38" t="n">
        <v>0.5</v>
      </c>
      <c r="AB127" s="39" t="n">
        <f aca="false">1-AA127*(1-INDEX('Perfil e pressupostos'!$C$14:$C$20,MATCH(Z127,'Perfil e pressupostos'!$A$14:$A$20,0)))</f>
        <v>0.5</v>
      </c>
      <c r="AC127" s="38" t="n">
        <v>0.3</v>
      </c>
      <c r="AD127" s="38" t="n">
        <v>0.5</v>
      </c>
      <c r="AE127" s="38" t="n">
        <v>0.7</v>
      </c>
      <c r="AF127" s="40" t="n">
        <f aca="false">100*('Perfil e pressupostos'!$F$14*AB127+'Perfil e pressupostos'!$F$15*AC127+'Perfil e pressupostos'!$F$16*AD127+'Perfil e pressupostos'!$F$17*AE127)/'Perfil e pressupostos'!$F$18</f>
        <v>47</v>
      </c>
      <c r="AG127" s="41" t="n">
        <f aca="false">INDEX('Perfil e pressupostos'!$B$25:$B$28,MATCH(V127,'Perfil e pressupostos'!$A$25:$A$28,0))</f>
        <v>0.01</v>
      </c>
      <c r="AH127" s="41" t="n">
        <f aca="false">MIN('Perfil e pressupostos'!$F$29,AG127*('Perfil e pressupostos'!$F$25+'Perfil e pressupostos'!$F$26*AF127/100)*IF(AD127&lt;='Perfil e pressupostos'!$F$28,'Perfil e pressupostos'!$F$27,1))</f>
        <v>0.00964</v>
      </c>
      <c r="AI127" s="35" t="str">
        <f aca="false">IF(AQ127=0,"—",IF(AH127&gt;='Perfil e pressupostos'!$F$30,"Boa",IF(AH127&gt;='Perfil e pressupostos'!$F$31,"Média","Baixa")))</f>
        <v>Baixa</v>
      </c>
      <c r="AJ127" s="7" t="s">
        <v>829</v>
      </c>
      <c r="AK127" s="7" t="s">
        <v>215</v>
      </c>
      <c r="AL127" s="35" t="str">
        <f aca="false">IF(AK127="Prazo expirado","Prazo passado",IF(LEFT(AK127,11)="Monitorizar","Monitorizar",IF(Y127&gt;=3.5,"Prioridade",IF(Y127&gt;=3,"Candidatar (reach)","Reserva"))))</f>
        <v>Reserva</v>
      </c>
      <c r="AM127" s="7" t="s">
        <v>548</v>
      </c>
      <c r="AN127" s="42" t="s">
        <v>830</v>
      </c>
      <c r="AO127" s="7" t="s">
        <v>187</v>
      </c>
      <c r="AP127" s="7" t="s">
        <v>218</v>
      </c>
      <c r="AQ127" s="7" t="n">
        <f aca="false">IF(OR(AK127="Prazo expirado",LEFT(AK127,11)="Monitorizar"),0,1)</f>
        <v>1</v>
      </c>
      <c r="AR127" s="41" t="n">
        <f aca="false">IF(AQ127=0,0,AH127)</f>
        <v>0.00964</v>
      </c>
      <c r="AS127" s="41" t="n">
        <f aca="false">AR127*W127/5</f>
        <v>0.007712</v>
      </c>
      <c r="AT127" s="43" t="n">
        <f aca="false">AS127+W127/1000000+(1000-ROW())/1000000000</f>
        <v>0.007716873</v>
      </c>
      <c r="AU127" s="35" t="n">
        <f aca="false">RANK(AT127,$AT$4:$AT$227)</f>
        <v>160</v>
      </c>
      <c r="AV127" s="40" t="n">
        <f aca="false">IF(AQ127=0,"",AF127)</f>
        <v>47</v>
      </c>
      <c r="AW127" s="41" t="n">
        <f aca="false">IF(AQ127=0,"",AH127)</f>
        <v>0.00964</v>
      </c>
    </row>
    <row r="128" customFormat="false" ht="45" hidden="false" customHeight="true" outlineLevel="0" collapsed="false">
      <c r="A128" s="35" t="n">
        <v>125</v>
      </c>
      <c r="B128" s="7" t="s">
        <v>243</v>
      </c>
      <c r="C128" s="7" t="s">
        <v>831</v>
      </c>
      <c r="D128" s="7" t="s">
        <v>582</v>
      </c>
      <c r="E128" s="7" t="s">
        <v>170</v>
      </c>
      <c r="F128" s="35" t="s">
        <v>95</v>
      </c>
      <c r="G128" s="7" t="s">
        <v>575</v>
      </c>
      <c r="H128" s="7" t="s">
        <v>172</v>
      </c>
      <c r="I128" s="7" t="s">
        <v>465</v>
      </c>
      <c r="J128" s="35" t="s">
        <v>394</v>
      </c>
      <c r="K128" s="7" t="s">
        <v>583</v>
      </c>
      <c r="L128" s="7" t="s">
        <v>584</v>
      </c>
      <c r="M128" s="7" t="s">
        <v>576</v>
      </c>
      <c r="N128" s="7" t="s">
        <v>215</v>
      </c>
      <c r="O128" s="44" t="n">
        <v>46316</v>
      </c>
      <c r="P128" s="35" t="n">
        <f aca="true">IF(ISNUMBER(O128),O128-TODAY(),"")</f>
        <v>4</v>
      </c>
      <c r="Q128" s="7" t="s">
        <v>179</v>
      </c>
      <c r="R128" s="36" t="n">
        <v>3000</v>
      </c>
      <c r="S128" s="36" t="n">
        <v>4500</v>
      </c>
      <c r="T128" s="37" t="n">
        <f aca="false">IF(R128="","",AVERAGE(R128,S128))</f>
        <v>3750</v>
      </c>
      <c r="U128" s="7" t="s">
        <v>547</v>
      </c>
      <c r="V128" s="38" t="s">
        <v>181</v>
      </c>
      <c r="W128" s="38" t="n">
        <v>4</v>
      </c>
      <c r="X128" s="38" t="n">
        <v>1.3</v>
      </c>
      <c r="Y128" s="35" t="n">
        <f aca="false">ROUND(0.6*W128+0.4*X128,1)</f>
        <v>2.9</v>
      </c>
      <c r="Z128" s="38" t="s">
        <v>304</v>
      </c>
      <c r="AA128" s="38" t="n">
        <v>0.4</v>
      </c>
      <c r="AB128" s="39" t="n">
        <f aca="false">1-AA128*(1-INDEX('Perfil e pressupostos'!$C$14:$C$20,MATCH(Z128,'Perfil e pressupostos'!$A$14:$A$20,0)))</f>
        <v>0.62</v>
      </c>
      <c r="AC128" s="38" t="n">
        <v>0.3</v>
      </c>
      <c r="AD128" s="38" t="n">
        <v>0.5</v>
      </c>
      <c r="AE128" s="38" t="n">
        <v>0.7</v>
      </c>
      <c r="AF128" s="40" t="n">
        <f aca="false">100*('Perfil e pressupostos'!$F$14*AB128+'Perfil e pressupostos'!$F$15*AC128+'Perfil e pressupostos'!$F$16*AD128+'Perfil e pressupostos'!$F$17*AE128)/'Perfil e pressupostos'!$F$18</f>
        <v>50.6</v>
      </c>
      <c r="AG128" s="41" t="n">
        <f aca="false">INDEX('Perfil e pressupostos'!$B$25:$B$28,MATCH(V128,'Perfil e pressupostos'!$A$25:$A$28,0))</f>
        <v>0.01</v>
      </c>
      <c r="AH128" s="41" t="n">
        <f aca="false">MIN('Perfil e pressupostos'!$F$29,AG128*('Perfil e pressupostos'!$F$25+'Perfil e pressupostos'!$F$26*AF128/100)*IF(AD128&lt;='Perfil e pressupostos'!$F$28,'Perfil e pressupostos'!$F$27,1))</f>
        <v>0.010072</v>
      </c>
      <c r="AI128" s="35" t="str">
        <f aca="false">IF(AQ128=0,"—",IF(AH128&gt;='Perfil e pressupostos'!$F$30,"Boa",IF(AH128&gt;='Perfil e pressupostos'!$F$31,"Média","Baixa")))</f>
        <v>Baixa</v>
      </c>
      <c r="AJ128" s="7" t="s">
        <v>596</v>
      </c>
      <c r="AK128" s="7" t="s">
        <v>306</v>
      </c>
      <c r="AL128" s="35" t="str">
        <f aca="false">IF(AK128="Prazo expirado","Prazo passado",IF(LEFT(AK128,11)="Monitorizar","Monitorizar",IF(Y128&gt;=3.5,"Prioridade",IF(Y128&gt;=3,"Candidatar (reach)","Reserva"))))</f>
        <v>Reserva</v>
      </c>
      <c r="AM128" s="7" t="s">
        <v>548</v>
      </c>
      <c r="AN128" s="42" t="s">
        <v>832</v>
      </c>
      <c r="AO128" s="7" t="s">
        <v>187</v>
      </c>
      <c r="AP128" s="7" t="s">
        <v>218</v>
      </c>
      <c r="AQ128" s="7" t="n">
        <f aca="false">IF(OR(AK128="Prazo expirado",LEFT(AK128,11)="Monitorizar"),0,1)</f>
        <v>1</v>
      </c>
      <c r="AR128" s="41" t="n">
        <f aca="false">IF(AQ128=0,0,AH128)</f>
        <v>0.010072</v>
      </c>
      <c r="AS128" s="41" t="n">
        <f aca="false">AR128*W128/5</f>
        <v>0.0080576</v>
      </c>
      <c r="AT128" s="43" t="n">
        <f aca="false">AS128+W128/1000000+(1000-ROW())/1000000000</f>
        <v>0.008062472</v>
      </c>
      <c r="AU128" s="35" t="n">
        <f aca="false">RANK(AT128,$AT$4:$AT$227)</f>
        <v>145</v>
      </c>
      <c r="AV128" s="40" t="n">
        <f aca="false">IF(AQ128=0,"",AF128)</f>
        <v>50.6</v>
      </c>
      <c r="AW128" s="41" t="n">
        <f aca="false">IF(AQ128=0,"",AH128)</f>
        <v>0.010072</v>
      </c>
    </row>
    <row r="129" customFormat="false" ht="45" hidden="false" customHeight="true" outlineLevel="0" collapsed="false">
      <c r="A129" s="35" t="n">
        <v>126</v>
      </c>
      <c r="B129" s="7" t="s">
        <v>833</v>
      </c>
      <c r="C129" s="7" t="s">
        <v>834</v>
      </c>
      <c r="D129" s="7" t="s">
        <v>582</v>
      </c>
      <c r="E129" s="7" t="s">
        <v>170</v>
      </c>
      <c r="F129" s="35" t="s">
        <v>85</v>
      </c>
      <c r="G129" s="7" t="s">
        <v>205</v>
      </c>
      <c r="H129" s="7" t="s">
        <v>172</v>
      </c>
      <c r="I129" s="7" t="s">
        <v>173</v>
      </c>
      <c r="J129" s="35" t="s">
        <v>207</v>
      </c>
      <c r="K129" s="7" t="s">
        <v>583</v>
      </c>
      <c r="L129" s="7" t="s">
        <v>584</v>
      </c>
      <c r="M129" s="7" t="s">
        <v>546</v>
      </c>
      <c r="N129" s="7" t="s">
        <v>215</v>
      </c>
      <c r="O129" s="7" t="s">
        <v>179</v>
      </c>
      <c r="P129" s="35" t="str">
        <f aca="true">IF(ISNUMBER(O129),O129-TODAY(),"")</f>
        <v/>
      </c>
      <c r="Q129" s="7" t="s">
        <v>179</v>
      </c>
      <c r="R129" s="36" t="n">
        <v>1500</v>
      </c>
      <c r="S129" s="36" t="n">
        <v>2500</v>
      </c>
      <c r="T129" s="37" t="n">
        <f aca="false">IF(R129="","",AVERAGE(R129,S129))</f>
        <v>2000</v>
      </c>
      <c r="U129" s="7" t="s">
        <v>547</v>
      </c>
      <c r="V129" s="38" t="s">
        <v>199</v>
      </c>
      <c r="W129" s="38" t="n">
        <v>4</v>
      </c>
      <c r="X129" s="38" t="n">
        <v>1.3</v>
      </c>
      <c r="Y129" s="35" t="n">
        <f aca="false">ROUND(0.6*W129+0.4*X129,1)</f>
        <v>2.9</v>
      </c>
      <c r="Z129" s="38" t="s">
        <v>213</v>
      </c>
      <c r="AA129" s="38" t="n">
        <v>0.5</v>
      </c>
      <c r="AB129" s="39" t="n">
        <f aca="false">1-AA129*(1-INDEX('Perfil e pressupostos'!$C$14:$C$20,MATCH(Z129,'Perfil e pressupostos'!$A$14:$A$20,0)))</f>
        <v>0.525</v>
      </c>
      <c r="AC129" s="38" t="n">
        <v>0.3</v>
      </c>
      <c r="AD129" s="38" t="n">
        <v>0.5</v>
      </c>
      <c r="AE129" s="38" t="n">
        <v>0.7</v>
      </c>
      <c r="AF129" s="40" t="n">
        <f aca="false">100*('Perfil e pressupostos'!$F$14*AB129+'Perfil e pressupostos'!$F$15*AC129+'Perfil e pressupostos'!$F$16*AD129+'Perfil e pressupostos'!$F$17*AE129)/'Perfil e pressupostos'!$F$18</f>
        <v>47.75</v>
      </c>
      <c r="AG129" s="41" t="n">
        <f aca="false">INDEX('Perfil e pressupostos'!$B$25:$B$28,MATCH(V129,'Perfil e pressupostos'!$A$25:$A$28,0))</f>
        <v>0.03</v>
      </c>
      <c r="AH129" s="41" t="n">
        <f aca="false">MIN('Perfil e pressupostos'!$F$29,AG129*('Perfil e pressupostos'!$F$25+'Perfil e pressupostos'!$F$26*AF129/100)*IF(AD129&lt;='Perfil e pressupostos'!$F$28,'Perfil e pressupostos'!$F$27,1))</f>
        <v>0.02919</v>
      </c>
      <c r="AI129" s="35" t="str">
        <f aca="false">IF(AQ129=0,"—",IF(AH129&gt;='Perfil e pressupostos'!$F$30,"Boa",IF(AH129&gt;='Perfil e pressupostos'!$F$31,"Média","Baixa")))</f>
        <v>Baixa</v>
      </c>
      <c r="AJ129" s="7" t="s">
        <v>453</v>
      </c>
      <c r="AK129" s="7" t="s">
        <v>215</v>
      </c>
      <c r="AL129" s="35" t="str">
        <f aca="false">IF(AK129="Prazo expirado","Prazo passado",IF(LEFT(AK129,11)="Monitorizar","Monitorizar",IF(Y129&gt;=3.5,"Prioridade",IF(Y129&gt;=3,"Candidatar (reach)","Reserva"))))</f>
        <v>Reserva</v>
      </c>
      <c r="AM129" s="7" t="s">
        <v>548</v>
      </c>
      <c r="AN129" s="42" t="s">
        <v>835</v>
      </c>
      <c r="AO129" s="7" t="s">
        <v>187</v>
      </c>
      <c r="AP129" s="7" t="s">
        <v>218</v>
      </c>
      <c r="AQ129" s="7" t="n">
        <f aca="false">IF(OR(AK129="Prazo expirado",LEFT(AK129,11)="Monitorizar"),0,1)</f>
        <v>1</v>
      </c>
      <c r="AR129" s="41" t="n">
        <f aca="false">IF(AQ129=0,0,AH129)</f>
        <v>0.02919</v>
      </c>
      <c r="AS129" s="41" t="n">
        <f aca="false">AR129*W129/5</f>
        <v>0.023352</v>
      </c>
      <c r="AT129" s="43" t="n">
        <f aca="false">AS129+W129/1000000+(1000-ROW())/1000000000</f>
        <v>0.023356871</v>
      </c>
      <c r="AU129" s="35" t="n">
        <f aca="false">RANK(AT129,$AT$4:$AT$227)</f>
        <v>67</v>
      </c>
      <c r="AV129" s="40" t="n">
        <f aca="false">IF(AQ129=0,"",AF129)</f>
        <v>47.75</v>
      </c>
      <c r="AW129" s="41" t="n">
        <f aca="false">IF(AQ129=0,"",AH129)</f>
        <v>0.02919</v>
      </c>
    </row>
    <row r="130" customFormat="false" ht="45" hidden="false" customHeight="true" outlineLevel="0" collapsed="false">
      <c r="A130" s="35" t="n">
        <v>127</v>
      </c>
      <c r="B130" s="7" t="s">
        <v>833</v>
      </c>
      <c r="C130" s="7" t="s">
        <v>836</v>
      </c>
      <c r="D130" s="7" t="s">
        <v>582</v>
      </c>
      <c r="E130" s="7" t="s">
        <v>170</v>
      </c>
      <c r="F130" s="35" t="s">
        <v>81</v>
      </c>
      <c r="G130" s="7" t="s">
        <v>171</v>
      </c>
      <c r="H130" s="7" t="s">
        <v>172</v>
      </c>
      <c r="I130" s="7" t="s">
        <v>376</v>
      </c>
      <c r="J130" s="35" t="s">
        <v>207</v>
      </c>
      <c r="K130" s="7" t="s">
        <v>583</v>
      </c>
      <c r="L130" s="7" t="s">
        <v>584</v>
      </c>
      <c r="M130" s="7" t="s">
        <v>576</v>
      </c>
      <c r="N130" s="7" t="s">
        <v>215</v>
      </c>
      <c r="O130" s="7" t="s">
        <v>179</v>
      </c>
      <c r="P130" s="35" t="str">
        <f aca="true">IF(ISNUMBER(O130),O130-TODAY(),"")</f>
        <v/>
      </c>
      <c r="Q130" s="7" t="s">
        <v>179</v>
      </c>
      <c r="R130" s="36" t="n">
        <v>2800</v>
      </c>
      <c r="S130" s="36" t="n">
        <v>4000</v>
      </c>
      <c r="T130" s="37" t="n">
        <f aca="false">IF(R130="","",AVERAGE(R130,S130))</f>
        <v>3400</v>
      </c>
      <c r="U130" s="7" t="s">
        <v>547</v>
      </c>
      <c r="V130" s="38" t="s">
        <v>199</v>
      </c>
      <c r="W130" s="38" t="n">
        <v>4</v>
      </c>
      <c r="X130" s="38" t="n">
        <v>1.7</v>
      </c>
      <c r="Y130" s="35" t="n">
        <f aca="false">ROUND(0.6*W130+0.4*X130,1)</f>
        <v>3.1</v>
      </c>
      <c r="Z130" s="38" t="s">
        <v>182</v>
      </c>
      <c r="AA130" s="38" t="n">
        <v>1</v>
      </c>
      <c r="AB130" s="39" t="n">
        <f aca="false">1-AA130*(1-INDEX('Perfil e pressupostos'!$C$14:$C$20,MATCH(Z130,'Perfil e pressupostos'!$A$14:$A$20,0)))</f>
        <v>0.95</v>
      </c>
      <c r="AC130" s="38" t="n">
        <v>0.3</v>
      </c>
      <c r="AD130" s="38" t="n">
        <v>0.5</v>
      </c>
      <c r="AE130" s="38" t="n">
        <v>0.7</v>
      </c>
      <c r="AF130" s="40" t="n">
        <f aca="false">100*('Perfil e pressupostos'!$F$14*AB130+'Perfil e pressupostos'!$F$15*AC130+'Perfil e pressupostos'!$F$16*AD130+'Perfil e pressupostos'!$F$17*AE130)/'Perfil e pressupostos'!$F$18</f>
        <v>60.5</v>
      </c>
      <c r="AG130" s="41" t="n">
        <f aca="false">INDEX('Perfil e pressupostos'!$B$25:$B$28,MATCH(V130,'Perfil e pressupostos'!$A$25:$A$28,0))</f>
        <v>0.03</v>
      </c>
      <c r="AH130" s="41" t="n">
        <f aca="false">MIN('Perfil e pressupostos'!$F$29,AG130*('Perfil e pressupostos'!$F$25+'Perfil e pressupostos'!$F$26*AF130/100)*IF(AD130&lt;='Perfil e pressupostos'!$F$28,'Perfil e pressupostos'!$F$27,1))</f>
        <v>0.03378</v>
      </c>
      <c r="AI130" s="35" t="str">
        <f aca="false">IF(AQ130=0,"—",IF(AH130&gt;='Perfil e pressupostos'!$F$30,"Boa",IF(AH130&gt;='Perfil e pressupostos'!$F$31,"Média","Baixa")))</f>
        <v>Média</v>
      </c>
      <c r="AJ130" s="7" t="s">
        <v>412</v>
      </c>
      <c r="AK130" s="7" t="s">
        <v>215</v>
      </c>
      <c r="AL130" s="35" t="str">
        <f aca="false">IF(AK130="Prazo expirado","Prazo passado",IF(LEFT(AK130,11)="Monitorizar","Monitorizar",IF(Y130&gt;=3.5,"Prioridade",IF(Y130&gt;=3,"Candidatar (reach)","Reserva"))))</f>
        <v>Candidatar (reach)</v>
      </c>
      <c r="AM130" s="7" t="s">
        <v>837</v>
      </c>
      <c r="AN130" s="42" t="s">
        <v>838</v>
      </c>
      <c r="AO130" s="7" t="s">
        <v>187</v>
      </c>
      <c r="AP130" s="7" t="s">
        <v>218</v>
      </c>
      <c r="AQ130" s="7" t="n">
        <f aca="false">IF(OR(AK130="Prazo expirado",LEFT(AK130,11)="Monitorizar"),0,1)</f>
        <v>1</v>
      </c>
      <c r="AR130" s="41" t="n">
        <f aca="false">IF(AQ130=0,0,AH130)</f>
        <v>0.03378</v>
      </c>
      <c r="AS130" s="41" t="n">
        <f aca="false">AR130*W130/5</f>
        <v>0.027024</v>
      </c>
      <c r="AT130" s="43" t="n">
        <f aca="false">AS130+W130/1000000+(1000-ROW())/1000000000</f>
        <v>0.02702887</v>
      </c>
      <c r="AU130" s="35" t="n">
        <f aca="false">RANK(AT130,$AT$4:$AT$227)</f>
        <v>53</v>
      </c>
      <c r="AV130" s="40" t="n">
        <f aca="false">IF(AQ130=0,"",AF130)</f>
        <v>60.5</v>
      </c>
      <c r="AW130" s="41" t="n">
        <f aca="false">IF(AQ130=0,"",AH130)</f>
        <v>0.03378</v>
      </c>
    </row>
    <row r="131" customFormat="false" ht="33.75" hidden="false" customHeight="true" outlineLevel="0" collapsed="false">
      <c r="A131" s="35" t="n">
        <v>128</v>
      </c>
      <c r="B131" s="7" t="s">
        <v>839</v>
      </c>
      <c r="C131" s="7" t="s">
        <v>840</v>
      </c>
      <c r="D131" s="7" t="s">
        <v>191</v>
      </c>
      <c r="E131" s="7" t="s">
        <v>310</v>
      </c>
      <c r="F131" s="35" t="s">
        <v>81</v>
      </c>
      <c r="G131" s="7" t="s">
        <v>171</v>
      </c>
      <c r="H131" s="7" t="s">
        <v>172</v>
      </c>
      <c r="I131" s="7" t="s">
        <v>215</v>
      </c>
      <c r="J131" s="35" t="s">
        <v>207</v>
      </c>
      <c r="K131" s="7" t="s">
        <v>612</v>
      </c>
      <c r="L131" s="7" t="s">
        <v>613</v>
      </c>
      <c r="M131" s="7" t="s">
        <v>576</v>
      </c>
      <c r="N131" s="7" t="s">
        <v>215</v>
      </c>
      <c r="O131" s="7" t="s">
        <v>179</v>
      </c>
      <c r="P131" s="35" t="str">
        <f aca="true">IF(ISNUMBER(O131),O131-TODAY(),"")</f>
        <v/>
      </c>
      <c r="Q131" s="7" t="s">
        <v>179</v>
      </c>
      <c r="R131" s="36" t="n">
        <v>2800</v>
      </c>
      <c r="S131" s="36" t="n">
        <v>4000</v>
      </c>
      <c r="T131" s="37" t="n">
        <f aca="false">IF(R131="","",AVERAGE(R131,S131))</f>
        <v>3400</v>
      </c>
      <c r="U131" s="7" t="s">
        <v>547</v>
      </c>
      <c r="V131" s="38" t="s">
        <v>199</v>
      </c>
      <c r="W131" s="38" t="n">
        <v>4</v>
      </c>
      <c r="X131" s="38" t="n">
        <v>1.7</v>
      </c>
      <c r="Y131" s="35" t="n">
        <f aca="false">ROUND(0.6*W131+0.4*X131,1)</f>
        <v>3.1</v>
      </c>
      <c r="Z131" s="38" t="s">
        <v>182</v>
      </c>
      <c r="AA131" s="38" t="n">
        <v>1</v>
      </c>
      <c r="AB131" s="39" t="n">
        <f aca="false">1-AA131*(1-INDEX('Perfil e pressupostos'!$C$14:$C$20,MATCH(Z131,'Perfil e pressupostos'!$A$14:$A$20,0)))</f>
        <v>0.95</v>
      </c>
      <c r="AC131" s="38" t="n">
        <v>0.3</v>
      </c>
      <c r="AD131" s="38" t="n">
        <v>0.5</v>
      </c>
      <c r="AE131" s="38" t="n">
        <v>0.7</v>
      </c>
      <c r="AF131" s="40" t="n">
        <f aca="false">100*('Perfil e pressupostos'!$F$14*AB131+'Perfil e pressupostos'!$F$15*AC131+'Perfil e pressupostos'!$F$16*AD131+'Perfil e pressupostos'!$F$17*AE131)/'Perfil e pressupostos'!$F$18</f>
        <v>60.5</v>
      </c>
      <c r="AG131" s="41" t="n">
        <f aca="false">INDEX('Perfil e pressupostos'!$B$25:$B$28,MATCH(V131,'Perfil e pressupostos'!$A$25:$A$28,0))</f>
        <v>0.03</v>
      </c>
      <c r="AH131" s="41" t="n">
        <f aca="false">MIN('Perfil e pressupostos'!$F$29,AG131*('Perfil e pressupostos'!$F$25+'Perfil e pressupostos'!$F$26*AF131/100)*IF(AD131&lt;='Perfil e pressupostos'!$F$28,'Perfil e pressupostos'!$F$27,1))</f>
        <v>0.03378</v>
      </c>
      <c r="AI131" s="35" t="str">
        <f aca="false">IF(AQ131=0,"—",IF(AH131&gt;='Perfil e pressupostos'!$F$30,"Boa",IF(AH131&gt;='Perfil e pressupostos'!$F$31,"Média","Baixa")))</f>
        <v>Média</v>
      </c>
      <c r="AJ131" s="7" t="s">
        <v>412</v>
      </c>
      <c r="AK131" s="7" t="s">
        <v>215</v>
      </c>
      <c r="AL131" s="35" t="str">
        <f aca="false">IF(AK131="Prazo expirado","Prazo passado",IF(LEFT(AK131,11)="Monitorizar","Monitorizar",IF(Y131&gt;=3.5,"Prioridade",IF(Y131&gt;=3,"Candidatar (reach)","Reserva"))))</f>
        <v>Candidatar (reach)</v>
      </c>
      <c r="AM131" s="7" t="s">
        <v>841</v>
      </c>
      <c r="AN131" s="42" t="s">
        <v>842</v>
      </c>
      <c r="AO131" s="7" t="s">
        <v>295</v>
      </c>
      <c r="AP131" s="7" t="s">
        <v>218</v>
      </c>
      <c r="AQ131" s="7" t="n">
        <f aca="false">IF(OR(AK131="Prazo expirado",LEFT(AK131,11)="Monitorizar"),0,1)</f>
        <v>1</v>
      </c>
      <c r="AR131" s="41" t="n">
        <f aca="false">IF(AQ131=0,0,AH131)</f>
        <v>0.03378</v>
      </c>
      <c r="AS131" s="41" t="n">
        <f aca="false">AR131*W131/5</f>
        <v>0.027024</v>
      </c>
      <c r="AT131" s="43" t="n">
        <f aca="false">AS131+W131/1000000+(1000-ROW())/1000000000</f>
        <v>0.027028869</v>
      </c>
      <c r="AU131" s="35" t="n">
        <f aca="false">RANK(AT131,$AT$4:$AT$227)</f>
        <v>54</v>
      </c>
      <c r="AV131" s="40" t="n">
        <f aca="false">IF(AQ131=0,"",AF131)</f>
        <v>60.5</v>
      </c>
      <c r="AW131" s="41" t="n">
        <f aca="false">IF(AQ131=0,"",AH131)</f>
        <v>0.03378</v>
      </c>
    </row>
    <row r="132" customFormat="false" ht="45" hidden="false" customHeight="true" outlineLevel="0" collapsed="false">
      <c r="A132" s="35" t="n">
        <v>129</v>
      </c>
      <c r="B132" s="7" t="s">
        <v>843</v>
      </c>
      <c r="C132" s="7" t="s">
        <v>844</v>
      </c>
      <c r="D132" s="7" t="s">
        <v>282</v>
      </c>
      <c r="E132" s="7" t="s">
        <v>310</v>
      </c>
      <c r="F132" s="35" t="s">
        <v>81</v>
      </c>
      <c r="G132" s="7" t="s">
        <v>171</v>
      </c>
      <c r="H132" s="7" t="s">
        <v>172</v>
      </c>
      <c r="I132" s="7" t="s">
        <v>215</v>
      </c>
      <c r="J132" s="35" t="s">
        <v>207</v>
      </c>
      <c r="K132" s="7" t="s">
        <v>721</v>
      </c>
      <c r="L132" s="7" t="s">
        <v>722</v>
      </c>
      <c r="M132" s="7" t="s">
        <v>576</v>
      </c>
      <c r="N132" s="7" t="s">
        <v>215</v>
      </c>
      <c r="O132" s="7" t="s">
        <v>179</v>
      </c>
      <c r="P132" s="35" t="str">
        <f aca="true">IF(ISNUMBER(O132),O132-TODAY(),"")</f>
        <v/>
      </c>
      <c r="Q132" s="7" t="s">
        <v>179</v>
      </c>
      <c r="R132" s="36" t="n">
        <v>2800</v>
      </c>
      <c r="S132" s="36" t="n">
        <v>4000</v>
      </c>
      <c r="T132" s="37" t="n">
        <f aca="false">IF(R132="","",AVERAGE(R132,S132))</f>
        <v>3400</v>
      </c>
      <c r="U132" s="7" t="s">
        <v>547</v>
      </c>
      <c r="V132" s="38" t="s">
        <v>181</v>
      </c>
      <c r="W132" s="38" t="n">
        <v>4</v>
      </c>
      <c r="X132" s="38" t="n">
        <v>1.5</v>
      </c>
      <c r="Y132" s="35" t="n">
        <f aca="false">ROUND(0.6*W132+0.4*X132,1)</f>
        <v>3</v>
      </c>
      <c r="Z132" s="38" t="s">
        <v>182</v>
      </c>
      <c r="AA132" s="38" t="n">
        <v>1</v>
      </c>
      <c r="AB132" s="39" t="n">
        <f aca="false">1-AA132*(1-INDEX('Perfil e pressupostos'!$C$14:$C$20,MATCH(Z132,'Perfil e pressupostos'!$A$14:$A$20,0)))</f>
        <v>0.95</v>
      </c>
      <c r="AC132" s="38" t="n">
        <v>0.3</v>
      </c>
      <c r="AD132" s="38" t="n">
        <v>0.5</v>
      </c>
      <c r="AE132" s="38" t="n">
        <v>0.7</v>
      </c>
      <c r="AF132" s="40" t="n">
        <f aca="false">100*('Perfil e pressupostos'!$F$14*AB132+'Perfil e pressupostos'!$F$15*AC132+'Perfil e pressupostos'!$F$16*AD132+'Perfil e pressupostos'!$F$17*AE132)/'Perfil e pressupostos'!$F$18</f>
        <v>60.5</v>
      </c>
      <c r="AG132" s="41" t="n">
        <f aca="false">INDEX('Perfil e pressupostos'!$B$25:$B$28,MATCH(V132,'Perfil e pressupostos'!$A$25:$A$28,0))</f>
        <v>0.01</v>
      </c>
      <c r="AH132" s="41" t="n">
        <f aca="false">MIN('Perfil e pressupostos'!$F$29,AG132*('Perfil e pressupostos'!$F$25+'Perfil e pressupostos'!$F$26*AF132/100)*IF(AD132&lt;='Perfil e pressupostos'!$F$28,'Perfil e pressupostos'!$F$27,1))</f>
        <v>0.01126</v>
      </c>
      <c r="AI132" s="35" t="str">
        <f aca="false">IF(AQ132=0,"—",IF(AH132&gt;='Perfil e pressupostos'!$F$30,"Boa",IF(AH132&gt;='Perfil e pressupostos'!$F$31,"Média","Baixa")))</f>
        <v>Baixa</v>
      </c>
      <c r="AJ132" s="7" t="s">
        <v>412</v>
      </c>
      <c r="AK132" s="7" t="s">
        <v>215</v>
      </c>
      <c r="AL132" s="35" t="str">
        <f aca="false">IF(AK132="Prazo expirado","Prazo passado",IF(LEFT(AK132,11)="Monitorizar","Monitorizar",IF(Y132&gt;=3.5,"Prioridade",IF(Y132&gt;=3,"Candidatar (reach)","Reserva"))))</f>
        <v>Candidatar (reach)</v>
      </c>
      <c r="AM132" s="7" t="s">
        <v>845</v>
      </c>
      <c r="AN132" s="42" t="s">
        <v>846</v>
      </c>
      <c r="AO132" s="7" t="s">
        <v>295</v>
      </c>
      <c r="AP132" s="7" t="s">
        <v>218</v>
      </c>
      <c r="AQ132" s="7" t="n">
        <f aca="false">IF(OR(AK132="Prazo expirado",LEFT(AK132,11)="Monitorizar"),0,1)</f>
        <v>1</v>
      </c>
      <c r="AR132" s="41" t="n">
        <f aca="false">IF(AQ132=0,0,AH132)</f>
        <v>0.01126</v>
      </c>
      <c r="AS132" s="41" t="n">
        <f aca="false">AR132*W132/5</f>
        <v>0.009008</v>
      </c>
      <c r="AT132" s="43" t="n">
        <f aca="false">AS132+W132/1000000+(1000-ROW())/1000000000</f>
        <v>0.009012868</v>
      </c>
      <c r="AU132" s="35" t="n">
        <f aca="false">RANK(AT132,$AT$4:$AT$227)</f>
        <v>130</v>
      </c>
      <c r="AV132" s="40" t="n">
        <f aca="false">IF(AQ132=0,"",AF132)</f>
        <v>60.5</v>
      </c>
      <c r="AW132" s="41" t="n">
        <f aca="false">IF(AQ132=0,"",AH132)</f>
        <v>0.01126</v>
      </c>
    </row>
    <row r="133" customFormat="false" ht="45" hidden="false" customHeight="true" outlineLevel="0" collapsed="false">
      <c r="A133" s="35" t="n">
        <v>130</v>
      </c>
      <c r="B133" s="7" t="s">
        <v>843</v>
      </c>
      <c r="C133" s="7" t="s">
        <v>840</v>
      </c>
      <c r="D133" s="7" t="s">
        <v>191</v>
      </c>
      <c r="E133" s="7" t="s">
        <v>310</v>
      </c>
      <c r="F133" s="35" t="s">
        <v>81</v>
      </c>
      <c r="G133" s="7" t="s">
        <v>171</v>
      </c>
      <c r="H133" s="7" t="s">
        <v>172</v>
      </c>
      <c r="I133" s="7" t="s">
        <v>215</v>
      </c>
      <c r="J133" s="35" t="s">
        <v>207</v>
      </c>
      <c r="K133" s="7" t="s">
        <v>612</v>
      </c>
      <c r="L133" s="7" t="s">
        <v>613</v>
      </c>
      <c r="M133" s="7" t="s">
        <v>576</v>
      </c>
      <c r="N133" s="7" t="s">
        <v>215</v>
      </c>
      <c r="O133" s="7" t="s">
        <v>179</v>
      </c>
      <c r="P133" s="35" t="str">
        <f aca="true">IF(ISNUMBER(O133),O133-TODAY(),"")</f>
        <v/>
      </c>
      <c r="Q133" s="7" t="s">
        <v>179</v>
      </c>
      <c r="R133" s="36" t="n">
        <v>2800</v>
      </c>
      <c r="S133" s="36" t="n">
        <v>4000</v>
      </c>
      <c r="T133" s="37" t="n">
        <f aca="false">IF(R133="","",AVERAGE(R133,S133))</f>
        <v>3400</v>
      </c>
      <c r="U133" s="7" t="s">
        <v>547</v>
      </c>
      <c r="V133" s="38" t="s">
        <v>181</v>
      </c>
      <c r="W133" s="38" t="n">
        <v>4</v>
      </c>
      <c r="X133" s="38" t="n">
        <v>1.5</v>
      </c>
      <c r="Y133" s="35" t="n">
        <f aca="false">ROUND(0.6*W133+0.4*X133,1)</f>
        <v>3</v>
      </c>
      <c r="Z133" s="38" t="s">
        <v>182</v>
      </c>
      <c r="AA133" s="38" t="n">
        <v>1</v>
      </c>
      <c r="AB133" s="39" t="n">
        <f aca="false">1-AA133*(1-INDEX('Perfil e pressupostos'!$C$14:$C$20,MATCH(Z133,'Perfil e pressupostos'!$A$14:$A$20,0)))</f>
        <v>0.95</v>
      </c>
      <c r="AC133" s="38" t="n">
        <v>0.3</v>
      </c>
      <c r="AD133" s="38" t="n">
        <v>0.5</v>
      </c>
      <c r="AE133" s="38" t="n">
        <v>0.7</v>
      </c>
      <c r="AF133" s="40" t="n">
        <f aca="false">100*('Perfil e pressupostos'!$F$14*AB133+'Perfil e pressupostos'!$F$15*AC133+'Perfil e pressupostos'!$F$16*AD133+'Perfil e pressupostos'!$F$17*AE133)/'Perfil e pressupostos'!$F$18</f>
        <v>60.5</v>
      </c>
      <c r="AG133" s="41" t="n">
        <f aca="false">INDEX('Perfil e pressupostos'!$B$25:$B$28,MATCH(V133,'Perfil e pressupostos'!$A$25:$A$28,0))</f>
        <v>0.01</v>
      </c>
      <c r="AH133" s="41" t="n">
        <f aca="false">MIN('Perfil e pressupostos'!$F$29,AG133*('Perfil e pressupostos'!$F$25+'Perfil e pressupostos'!$F$26*AF133/100)*IF(AD133&lt;='Perfil e pressupostos'!$F$28,'Perfil e pressupostos'!$F$27,1))</f>
        <v>0.01126</v>
      </c>
      <c r="AI133" s="35" t="str">
        <f aca="false">IF(AQ133=0,"—",IF(AH133&gt;='Perfil e pressupostos'!$F$30,"Boa",IF(AH133&gt;='Perfil e pressupostos'!$F$31,"Média","Baixa")))</f>
        <v>Baixa</v>
      </c>
      <c r="AJ133" s="7" t="s">
        <v>412</v>
      </c>
      <c r="AK133" s="7" t="s">
        <v>215</v>
      </c>
      <c r="AL133" s="35" t="str">
        <f aca="false">IF(AK133="Prazo expirado","Prazo passado",IF(LEFT(AK133,11)="Monitorizar","Monitorizar",IF(Y133&gt;=3.5,"Prioridade",IF(Y133&gt;=3,"Candidatar (reach)","Reserva"))))</f>
        <v>Candidatar (reach)</v>
      </c>
      <c r="AM133" s="7" t="s">
        <v>845</v>
      </c>
      <c r="AN133" s="42" t="s">
        <v>847</v>
      </c>
      <c r="AO133" s="7" t="s">
        <v>295</v>
      </c>
      <c r="AP133" s="7" t="s">
        <v>218</v>
      </c>
      <c r="AQ133" s="7" t="n">
        <f aca="false">IF(OR(AK133="Prazo expirado",LEFT(AK133,11)="Monitorizar"),0,1)</f>
        <v>1</v>
      </c>
      <c r="AR133" s="41" t="n">
        <f aca="false">IF(AQ133=0,0,AH133)</f>
        <v>0.01126</v>
      </c>
      <c r="AS133" s="41" t="n">
        <f aca="false">AR133*W133/5</f>
        <v>0.009008</v>
      </c>
      <c r="AT133" s="43" t="n">
        <f aca="false">AS133+W133/1000000+(1000-ROW())/1000000000</f>
        <v>0.009012867</v>
      </c>
      <c r="AU133" s="35" t="n">
        <f aca="false">RANK(AT133,$AT$4:$AT$227)</f>
        <v>131</v>
      </c>
      <c r="AV133" s="40" t="n">
        <f aca="false">IF(AQ133=0,"",AF133)</f>
        <v>60.5</v>
      </c>
      <c r="AW133" s="41" t="n">
        <f aca="false">IF(AQ133=0,"",AH133)</f>
        <v>0.01126</v>
      </c>
    </row>
    <row r="134" customFormat="false" ht="45" hidden="false" customHeight="true" outlineLevel="0" collapsed="false">
      <c r="A134" s="35" t="n">
        <v>131</v>
      </c>
      <c r="B134" s="7" t="s">
        <v>843</v>
      </c>
      <c r="C134" s="7" t="s">
        <v>848</v>
      </c>
      <c r="D134" s="7" t="s">
        <v>191</v>
      </c>
      <c r="E134" s="7" t="s">
        <v>310</v>
      </c>
      <c r="F134" s="35" t="s">
        <v>95</v>
      </c>
      <c r="G134" s="7" t="s">
        <v>575</v>
      </c>
      <c r="H134" s="7" t="s">
        <v>172</v>
      </c>
      <c r="I134" s="7" t="s">
        <v>215</v>
      </c>
      <c r="J134" s="35" t="s">
        <v>207</v>
      </c>
      <c r="K134" s="7" t="s">
        <v>612</v>
      </c>
      <c r="L134" s="7" t="s">
        <v>613</v>
      </c>
      <c r="M134" s="7" t="s">
        <v>576</v>
      </c>
      <c r="N134" s="7" t="s">
        <v>215</v>
      </c>
      <c r="O134" s="7" t="s">
        <v>179</v>
      </c>
      <c r="P134" s="35" t="str">
        <f aca="true">IF(ISNUMBER(O134),O134-TODAY(),"")</f>
        <v/>
      </c>
      <c r="Q134" s="7" t="s">
        <v>179</v>
      </c>
      <c r="R134" s="36" t="n">
        <v>3000</v>
      </c>
      <c r="S134" s="36" t="n">
        <v>4500</v>
      </c>
      <c r="T134" s="37" t="n">
        <f aca="false">IF(R134="","",AVERAGE(R134,S134))</f>
        <v>3750</v>
      </c>
      <c r="U134" s="7" t="s">
        <v>547</v>
      </c>
      <c r="V134" s="38" t="s">
        <v>181</v>
      </c>
      <c r="W134" s="38" t="n">
        <v>4</v>
      </c>
      <c r="X134" s="38" t="n">
        <v>1.4</v>
      </c>
      <c r="Y134" s="35" t="n">
        <f aca="false">ROUND(0.6*W134+0.4*X134,1)</f>
        <v>3</v>
      </c>
      <c r="Z134" s="38" t="s">
        <v>304</v>
      </c>
      <c r="AA134" s="38" t="n">
        <v>0.3</v>
      </c>
      <c r="AB134" s="39" t="n">
        <f aca="false">1-AA134*(1-INDEX('Perfil e pressupostos'!$C$14:$C$20,MATCH(Z134,'Perfil e pressupostos'!$A$14:$A$20,0)))</f>
        <v>0.715</v>
      </c>
      <c r="AC134" s="38" t="n">
        <v>0.3</v>
      </c>
      <c r="AD134" s="38" t="n">
        <v>0.5</v>
      </c>
      <c r="AE134" s="38" t="n">
        <v>0.7</v>
      </c>
      <c r="AF134" s="40" t="n">
        <f aca="false">100*('Perfil e pressupostos'!$F$14*AB134+'Perfil e pressupostos'!$F$15*AC134+'Perfil e pressupostos'!$F$16*AD134+'Perfil e pressupostos'!$F$17*AE134)/'Perfil e pressupostos'!$F$18</f>
        <v>53.45</v>
      </c>
      <c r="AG134" s="41" t="n">
        <f aca="false">INDEX('Perfil e pressupostos'!$B$25:$B$28,MATCH(V134,'Perfil e pressupostos'!$A$25:$A$28,0))</f>
        <v>0.01</v>
      </c>
      <c r="AH134" s="41" t="n">
        <f aca="false">MIN('Perfil e pressupostos'!$F$29,AG134*('Perfil e pressupostos'!$F$25+'Perfil e pressupostos'!$F$26*AF134/100)*IF(AD134&lt;='Perfil e pressupostos'!$F$28,'Perfil e pressupostos'!$F$27,1))</f>
        <v>0.010414</v>
      </c>
      <c r="AI134" s="35" t="str">
        <f aca="false">IF(AQ134=0,"—",IF(AH134&gt;='Perfil e pressupostos'!$F$30,"Boa",IF(AH134&gt;='Perfil e pressupostos'!$F$31,"Média","Baixa")))</f>
        <v>Baixa</v>
      </c>
      <c r="AJ134" s="7" t="s">
        <v>577</v>
      </c>
      <c r="AK134" s="7" t="s">
        <v>215</v>
      </c>
      <c r="AL134" s="35" t="str">
        <f aca="false">IF(AK134="Prazo expirado","Prazo passado",IF(LEFT(AK134,11)="Monitorizar","Monitorizar",IF(Y134&gt;=3.5,"Prioridade",IF(Y134&gt;=3,"Candidatar (reach)","Reserva"))))</f>
        <v>Candidatar (reach)</v>
      </c>
      <c r="AM134" s="7" t="s">
        <v>845</v>
      </c>
      <c r="AN134" s="42" t="s">
        <v>849</v>
      </c>
      <c r="AO134" s="7" t="s">
        <v>295</v>
      </c>
      <c r="AP134" s="7" t="s">
        <v>218</v>
      </c>
      <c r="AQ134" s="7" t="n">
        <f aca="false">IF(OR(AK134="Prazo expirado",LEFT(AK134,11)="Monitorizar"),0,1)</f>
        <v>1</v>
      </c>
      <c r="AR134" s="41" t="n">
        <f aca="false">IF(AQ134=0,0,AH134)</f>
        <v>0.010414</v>
      </c>
      <c r="AS134" s="41" t="n">
        <f aca="false">AR134*W134/5</f>
        <v>0.0083312</v>
      </c>
      <c r="AT134" s="43" t="n">
        <f aca="false">AS134+W134/1000000+(1000-ROW())/1000000000</f>
        <v>0.008336066</v>
      </c>
      <c r="AU134" s="35" t="n">
        <f aca="false">RANK(AT134,$AT$4:$AT$227)</f>
        <v>138</v>
      </c>
      <c r="AV134" s="40" t="n">
        <f aca="false">IF(AQ134=0,"",AF134)</f>
        <v>53.45</v>
      </c>
      <c r="AW134" s="41" t="n">
        <f aca="false">IF(AQ134=0,"",AH134)</f>
        <v>0.010414</v>
      </c>
    </row>
    <row r="135" customFormat="false" ht="33.75" hidden="false" customHeight="true" outlineLevel="0" collapsed="false">
      <c r="A135" s="35" t="n">
        <v>132</v>
      </c>
      <c r="B135" s="7" t="s">
        <v>850</v>
      </c>
      <c r="C135" s="7" t="s">
        <v>851</v>
      </c>
      <c r="D135" s="7" t="s">
        <v>191</v>
      </c>
      <c r="E135" s="7" t="s">
        <v>310</v>
      </c>
      <c r="F135" s="35" t="s">
        <v>81</v>
      </c>
      <c r="G135" s="7" t="s">
        <v>171</v>
      </c>
      <c r="H135" s="7" t="s">
        <v>172</v>
      </c>
      <c r="I135" s="7" t="s">
        <v>215</v>
      </c>
      <c r="J135" s="35" t="s">
        <v>207</v>
      </c>
      <c r="K135" s="7" t="s">
        <v>612</v>
      </c>
      <c r="L135" s="7" t="s">
        <v>613</v>
      </c>
      <c r="M135" s="7" t="s">
        <v>576</v>
      </c>
      <c r="N135" s="7" t="s">
        <v>215</v>
      </c>
      <c r="O135" s="7" t="s">
        <v>179</v>
      </c>
      <c r="P135" s="35" t="str">
        <f aca="true">IF(ISNUMBER(O135),O135-TODAY(),"")</f>
        <v/>
      </c>
      <c r="Q135" s="7" t="s">
        <v>179</v>
      </c>
      <c r="R135" s="36" t="n">
        <v>2800</v>
      </c>
      <c r="S135" s="36" t="n">
        <v>4000</v>
      </c>
      <c r="T135" s="37" t="n">
        <f aca="false">IF(R135="","",AVERAGE(R135,S135))</f>
        <v>3400</v>
      </c>
      <c r="U135" s="7" t="s">
        <v>547</v>
      </c>
      <c r="V135" s="38" t="s">
        <v>199</v>
      </c>
      <c r="W135" s="38" t="n">
        <v>3.5</v>
      </c>
      <c r="X135" s="38" t="n">
        <v>1.7</v>
      </c>
      <c r="Y135" s="35" t="n">
        <f aca="false">ROUND(0.6*W135+0.4*X135,1)</f>
        <v>2.8</v>
      </c>
      <c r="Z135" s="38" t="s">
        <v>182</v>
      </c>
      <c r="AA135" s="38" t="n">
        <v>1</v>
      </c>
      <c r="AB135" s="39" t="n">
        <f aca="false">1-AA135*(1-INDEX('Perfil e pressupostos'!$C$14:$C$20,MATCH(Z135,'Perfil e pressupostos'!$A$14:$A$20,0)))</f>
        <v>0.95</v>
      </c>
      <c r="AC135" s="38" t="n">
        <v>0.3</v>
      </c>
      <c r="AD135" s="38" t="n">
        <v>0.5</v>
      </c>
      <c r="AE135" s="38" t="n">
        <v>0.7</v>
      </c>
      <c r="AF135" s="40" t="n">
        <f aca="false">100*('Perfil e pressupostos'!$F$14*AB135+'Perfil e pressupostos'!$F$15*AC135+'Perfil e pressupostos'!$F$16*AD135+'Perfil e pressupostos'!$F$17*AE135)/'Perfil e pressupostos'!$F$18</f>
        <v>60.5</v>
      </c>
      <c r="AG135" s="41" t="n">
        <f aca="false">INDEX('Perfil e pressupostos'!$B$25:$B$28,MATCH(V135,'Perfil e pressupostos'!$A$25:$A$28,0))</f>
        <v>0.03</v>
      </c>
      <c r="AH135" s="41" t="n">
        <f aca="false">MIN('Perfil e pressupostos'!$F$29,AG135*('Perfil e pressupostos'!$F$25+'Perfil e pressupostos'!$F$26*AF135/100)*IF(AD135&lt;='Perfil e pressupostos'!$F$28,'Perfil e pressupostos'!$F$27,1))</f>
        <v>0.03378</v>
      </c>
      <c r="AI135" s="35" t="str">
        <f aca="false">IF(AQ135=0,"—",IF(AH135&gt;='Perfil e pressupostos'!$F$30,"Boa",IF(AH135&gt;='Perfil e pressupostos'!$F$31,"Média","Baixa")))</f>
        <v>Média</v>
      </c>
      <c r="AJ135" s="7" t="s">
        <v>412</v>
      </c>
      <c r="AK135" s="7" t="s">
        <v>215</v>
      </c>
      <c r="AL135" s="35" t="str">
        <f aca="false">IF(AK135="Prazo expirado","Prazo passado",IF(LEFT(AK135,11)="Monitorizar","Monitorizar",IF(Y135&gt;=3.5,"Prioridade",IF(Y135&gt;=3,"Candidatar (reach)","Reserva"))))</f>
        <v>Reserva</v>
      </c>
      <c r="AM135" s="7" t="s">
        <v>852</v>
      </c>
      <c r="AN135" s="42" t="s">
        <v>853</v>
      </c>
      <c r="AO135" s="7" t="s">
        <v>295</v>
      </c>
      <c r="AP135" s="7" t="s">
        <v>218</v>
      </c>
      <c r="AQ135" s="7" t="n">
        <f aca="false">IF(OR(AK135="Prazo expirado",LEFT(AK135,11)="Monitorizar"),0,1)</f>
        <v>1</v>
      </c>
      <c r="AR135" s="41" t="n">
        <f aca="false">IF(AQ135=0,0,AH135)</f>
        <v>0.03378</v>
      </c>
      <c r="AS135" s="41" t="n">
        <f aca="false">AR135*W135/5</f>
        <v>0.023646</v>
      </c>
      <c r="AT135" s="43" t="n">
        <f aca="false">AS135+W135/1000000+(1000-ROW())/1000000000</f>
        <v>0.023650365</v>
      </c>
      <c r="AU135" s="35" t="n">
        <f aca="false">RANK(AT135,$AT$4:$AT$227)</f>
        <v>66</v>
      </c>
      <c r="AV135" s="40" t="n">
        <f aca="false">IF(AQ135=0,"",AF135)</f>
        <v>60.5</v>
      </c>
      <c r="AW135" s="41" t="n">
        <f aca="false">IF(AQ135=0,"",AH135)</f>
        <v>0.03378</v>
      </c>
    </row>
    <row r="136" customFormat="false" ht="45" hidden="false" customHeight="true" outlineLevel="0" collapsed="false">
      <c r="A136" s="35" t="n">
        <v>133</v>
      </c>
      <c r="B136" s="7" t="s">
        <v>854</v>
      </c>
      <c r="C136" s="7" t="s">
        <v>855</v>
      </c>
      <c r="D136" s="7" t="s">
        <v>191</v>
      </c>
      <c r="E136" s="7" t="s">
        <v>170</v>
      </c>
      <c r="F136" s="35" t="s">
        <v>81</v>
      </c>
      <c r="G136" s="7" t="s">
        <v>171</v>
      </c>
      <c r="H136" s="7" t="s">
        <v>172</v>
      </c>
      <c r="I136" s="7" t="s">
        <v>215</v>
      </c>
      <c r="J136" s="35" t="s">
        <v>207</v>
      </c>
      <c r="K136" s="7" t="s">
        <v>612</v>
      </c>
      <c r="L136" s="7" t="s">
        <v>613</v>
      </c>
      <c r="M136" s="7" t="s">
        <v>576</v>
      </c>
      <c r="N136" s="7" t="s">
        <v>215</v>
      </c>
      <c r="O136" s="44" t="n">
        <v>46299</v>
      </c>
      <c r="P136" s="35" t="n">
        <f aca="true">IF(ISNUMBER(O136),O136-TODAY(),"")</f>
        <v>-13</v>
      </c>
      <c r="Q136" s="7" t="s">
        <v>179</v>
      </c>
      <c r="R136" s="36" t="n">
        <v>2800</v>
      </c>
      <c r="S136" s="36" t="n">
        <v>4000</v>
      </c>
      <c r="T136" s="37" t="n">
        <f aca="false">IF(R136="","",AVERAGE(R136,S136))</f>
        <v>3400</v>
      </c>
      <c r="U136" s="7" t="s">
        <v>547</v>
      </c>
      <c r="V136" s="38" t="s">
        <v>199</v>
      </c>
      <c r="W136" s="38" t="n">
        <v>4</v>
      </c>
      <c r="X136" s="38" t="n">
        <v>1.7</v>
      </c>
      <c r="Y136" s="35" t="n">
        <f aca="false">ROUND(0.6*W136+0.4*X136,1)</f>
        <v>3.1</v>
      </c>
      <c r="Z136" s="38" t="s">
        <v>182</v>
      </c>
      <c r="AA136" s="38" t="n">
        <v>1</v>
      </c>
      <c r="AB136" s="39" t="n">
        <f aca="false">1-AA136*(1-INDEX('Perfil e pressupostos'!$C$14:$C$20,MATCH(Z136,'Perfil e pressupostos'!$A$14:$A$20,0)))</f>
        <v>0.95</v>
      </c>
      <c r="AC136" s="38" t="n">
        <v>0.3</v>
      </c>
      <c r="AD136" s="38" t="n">
        <v>0.5</v>
      </c>
      <c r="AE136" s="38" t="n">
        <v>0.7</v>
      </c>
      <c r="AF136" s="40" t="n">
        <f aca="false">100*('Perfil e pressupostos'!$F$14*AB136+'Perfil e pressupostos'!$F$15*AC136+'Perfil e pressupostos'!$F$16*AD136+'Perfil e pressupostos'!$F$17*AE136)/'Perfil e pressupostos'!$F$18</f>
        <v>60.5</v>
      </c>
      <c r="AG136" s="41" t="n">
        <f aca="false">INDEX('Perfil e pressupostos'!$B$25:$B$28,MATCH(V136,'Perfil e pressupostos'!$A$25:$A$28,0))</f>
        <v>0.03</v>
      </c>
      <c r="AH136" s="41" t="n">
        <f aca="false">MIN('Perfil e pressupostos'!$F$29,AG136*('Perfil e pressupostos'!$F$25+'Perfil e pressupostos'!$F$26*AF136/100)*IF(AD136&lt;='Perfil e pressupostos'!$F$28,'Perfil e pressupostos'!$F$27,1))</f>
        <v>0.03378</v>
      </c>
      <c r="AI136" s="35" t="str">
        <f aca="false">IF(AQ136=0,"—",IF(AH136&gt;='Perfil e pressupostos'!$F$30,"Boa",IF(AH136&gt;='Perfil e pressupostos'!$F$31,"Média","Baixa")))</f>
        <v>—</v>
      </c>
      <c r="AJ136" s="7" t="s">
        <v>412</v>
      </c>
      <c r="AK136" s="7" t="s">
        <v>292</v>
      </c>
      <c r="AL136" s="35" t="str">
        <f aca="false">IF(AK136="Prazo expirado","Prazo passado",IF(LEFT(AK136,11)="Monitorizar","Monitorizar",IF(Y136&gt;=3.5,"Prioridade",IF(Y136&gt;=3,"Candidatar (reach)","Reserva"))))</f>
        <v>Prazo passado</v>
      </c>
      <c r="AM136" s="7" t="s">
        <v>548</v>
      </c>
      <c r="AN136" s="42" t="s">
        <v>856</v>
      </c>
      <c r="AO136" s="7" t="s">
        <v>187</v>
      </c>
      <c r="AP136" s="7" t="s">
        <v>218</v>
      </c>
      <c r="AQ136" s="7" t="n">
        <f aca="false">IF(OR(AK136="Prazo expirado",LEFT(AK136,11)="Monitorizar"),0,1)</f>
        <v>0</v>
      </c>
      <c r="AR136" s="41" t="n">
        <f aca="false">IF(AQ136=0,0,AH136)</f>
        <v>0</v>
      </c>
      <c r="AS136" s="41" t="n">
        <f aca="false">AR136*W136/5</f>
        <v>0</v>
      </c>
      <c r="AT136" s="43" t="n">
        <f aca="false">AS136+W136/1000000+(1000-ROW())/1000000000</f>
        <v>4.864E-006</v>
      </c>
      <c r="AU136" s="35" t="n">
        <f aca="false">RANK(AT136,$AT$4:$AT$227)</f>
        <v>202</v>
      </c>
      <c r="AV136" s="40" t="str">
        <f aca="false">IF(AQ136=0,"",AF136)</f>
        <v/>
      </c>
      <c r="AW136" s="41" t="str">
        <f aca="false">IF(AQ136=0,"",AH136)</f>
        <v/>
      </c>
    </row>
    <row r="137" customFormat="false" ht="33.75" hidden="false" customHeight="true" outlineLevel="0" collapsed="false">
      <c r="A137" s="35" t="n">
        <v>134</v>
      </c>
      <c r="B137" s="7" t="s">
        <v>857</v>
      </c>
      <c r="C137" s="7" t="s">
        <v>858</v>
      </c>
      <c r="D137" s="7" t="s">
        <v>191</v>
      </c>
      <c r="E137" s="7" t="s">
        <v>310</v>
      </c>
      <c r="F137" s="35" t="s">
        <v>83</v>
      </c>
      <c r="G137" s="7" t="s">
        <v>192</v>
      </c>
      <c r="H137" s="7" t="s">
        <v>172</v>
      </c>
      <c r="I137" s="7" t="s">
        <v>215</v>
      </c>
      <c r="J137" s="35" t="s">
        <v>207</v>
      </c>
      <c r="K137" s="7" t="s">
        <v>612</v>
      </c>
      <c r="L137" s="7" t="s">
        <v>613</v>
      </c>
      <c r="M137" s="7" t="s">
        <v>779</v>
      </c>
      <c r="N137" s="7" t="s">
        <v>215</v>
      </c>
      <c r="O137" s="44" t="n">
        <v>46298</v>
      </c>
      <c r="P137" s="35" t="n">
        <f aca="true">IF(ISNUMBER(O137),O137-TODAY(),"")</f>
        <v>-14</v>
      </c>
      <c r="Q137" s="7" t="s">
        <v>179</v>
      </c>
      <c r="R137" s="36" t="n">
        <v>1000</v>
      </c>
      <c r="S137" s="36" t="n">
        <v>1800</v>
      </c>
      <c r="T137" s="37" t="n">
        <f aca="false">IF(R137="","",AVERAGE(R137,S137))</f>
        <v>1400</v>
      </c>
      <c r="U137" s="7" t="s">
        <v>547</v>
      </c>
      <c r="V137" s="38" t="s">
        <v>199</v>
      </c>
      <c r="W137" s="38" t="n">
        <v>4</v>
      </c>
      <c r="X137" s="38" t="n">
        <v>1.2</v>
      </c>
      <c r="Y137" s="35" t="n">
        <f aca="false">ROUND(0.6*W137+0.4*X137,1)</f>
        <v>2.9</v>
      </c>
      <c r="Z137" s="38" t="s">
        <v>200</v>
      </c>
      <c r="AA137" s="38" t="n">
        <v>1</v>
      </c>
      <c r="AB137" s="39" t="n">
        <f aca="false">1-AA137*(1-INDEX('Perfil e pressupostos'!$C$14:$C$20,MATCH(Z137,'Perfil e pressupostos'!$A$14:$A$20,0)))</f>
        <v>0.3</v>
      </c>
      <c r="AC137" s="38" t="n">
        <v>0.3</v>
      </c>
      <c r="AD137" s="38" t="n">
        <v>0.5</v>
      </c>
      <c r="AE137" s="38" t="n">
        <v>0.7</v>
      </c>
      <c r="AF137" s="40" t="n">
        <f aca="false">100*('Perfil e pressupostos'!$F$14*AB137+'Perfil e pressupostos'!$F$15*AC137+'Perfil e pressupostos'!$F$16*AD137+'Perfil e pressupostos'!$F$17*AE137)/'Perfil e pressupostos'!$F$18</f>
        <v>41</v>
      </c>
      <c r="AG137" s="41" t="n">
        <f aca="false">INDEX('Perfil e pressupostos'!$B$25:$B$28,MATCH(V137,'Perfil e pressupostos'!$A$25:$A$28,0))</f>
        <v>0.03</v>
      </c>
      <c r="AH137" s="41" t="n">
        <f aca="false">MIN('Perfil e pressupostos'!$F$29,AG137*('Perfil e pressupostos'!$F$25+'Perfil e pressupostos'!$F$26*AF137/100)*IF(AD137&lt;='Perfil e pressupostos'!$F$28,'Perfil e pressupostos'!$F$27,1))</f>
        <v>0.02676</v>
      </c>
      <c r="AI137" s="35" t="str">
        <f aca="false">IF(AQ137=0,"—",IF(AH137&gt;='Perfil e pressupostos'!$F$30,"Boa",IF(AH137&gt;='Perfil e pressupostos'!$F$31,"Média","Baixa")))</f>
        <v>—</v>
      </c>
      <c r="AJ137" s="7" t="s">
        <v>859</v>
      </c>
      <c r="AK137" s="7" t="s">
        <v>292</v>
      </c>
      <c r="AL137" s="35" t="str">
        <f aca="false">IF(AK137="Prazo expirado","Prazo passado",IF(LEFT(AK137,11)="Monitorizar","Monitorizar",IF(Y137&gt;=3.5,"Prioridade",IF(Y137&gt;=3,"Candidatar (reach)","Reserva"))))</f>
        <v>Prazo passado</v>
      </c>
      <c r="AM137" s="7" t="s">
        <v>548</v>
      </c>
      <c r="AN137" s="42" t="s">
        <v>860</v>
      </c>
      <c r="AO137" s="7" t="s">
        <v>187</v>
      </c>
      <c r="AP137" s="7" t="s">
        <v>218</v>
      </c>
      <c r="AQ137" s="7" t="n">
        <f aca="false">IF(OR(AK137="Prazo expirado",LEFT(AK137,11)="Monitorizar"),0,1)</f>
        <v>0</v>
      </c>
      <c r="AR137" s="41" t="n">
        <f aca="false">IF(AQ137=0,0,AH137)</f>
        <v>0</v>
      </c>
      <c r="AS137" s="41" t="n">
        <f aca="false">AR137*W137/5</f>
        <v>0</v>
      </c>
      <c r="AT137" s="43" t="n">
        <f aca="false">AS137+W137/1000000+(1000-ROW())/1000000000</f>
        <v>4.863E-006</v>
      </c>
      <c r="AU137" s="35" t="n">
        <f aca="false">RANK(AT137,$AT$4:$AT$227)</f>
        <v>203</v>
      </c>
      <c r="AV137" s="40" t="str">
        <f aca="false">IF(AQ137=0,"",AF137)</f>
        <v/>
      </c>
      <c r="AW137" s="41" t="str">
        <f aca="false">IF(AQ137=0,"",AH137)</f>
        <v/>
      </c>
    </row>
    <row r="138" customFormat="false" ht="45" hidden="false" customHeight="true" outlineLevel="0" collapsed="false">
      <c r="A138" s="35" t="n">
        <v>135</v>
      </c>
      <c r="B138" s="7" t="s">
        <v>861</v>
      </c>
      <c r="C138" s="7" t="s">
        <v>862</v>
      </c>
      <c r="D138" s="7" t="s">
        <v>191</v>
      </c>
      <c r="E138" s="7" t="s">
        <v>170</v>
      </c>
      <c r="F138" s="35" t="s">
        <v>83</v>
      </c>
      <c r="G138" s="7" t="s">
        <v>192</v>
      </c>
      <c r="H138" s="7" t="s">
        <v>172</v>
      </c>
      <c r="I138" s="7" t="s">
        <v>215</v>
      </c>
      <c r="J138" s="35" t="s">
        <v>207</v>
      </c>
      <c r="K138" s="7" t="s">
        <v>612</v>
      </c>
      <c r="L138" s="7" t="s">
        <v>613</v>
      </c>
      <c r="M138" s="7" t="s">
        <v>779</v>
      </c>
      <c r="N138" s="7" t="s">
        <v>215</v>
      </c>
      <c r="O138" s="7" t="s">
        <v>179</v>
      </c>
      <c r="P138" s="35" t="str">
        <f aca="true">IF(ISNUMBER(O138),O138-TODAY(),"")</f>
        <v/>
      </c>
      <c r="Q138" s="7" t="s">
        <v>179</v>
      </c>
      <c r="R138" s="36" t="n">
        <v>1000</v>
      </c>
      <c r="S138" s="36" t="n">
        <v>1800</v>
      </c>
      <c r="T138" s="37" t="n">
        <f aca="false">IF(R138="","",AVERAGE(R138,S138))</f>
        <v>1400</v>
      </c>
      <c r="U138" s="7" t="s">
        <v>547</v>
      </c>
      <c r="V138" s="38" t="s">
        <v>199</v>
      </c>
      <c r="W138" s="38" t="n">
        <v>4</v>
      </c>
      <c r="X138" s="38" t="n">
        <v>1.3</v>
      </c>
      <c r="Y138" s="35" t="n">
        <f aca="false">ROUND(0.6*W138+0.4*X138,1)</f>
        <v>2.9</v>
      </c>
      <c r="Z138" s="38" t="s">
        <v>200</v>
      </c>
      <c r="AA138" s="38" t="n">
        <v>0.8</v>
      </c>
      <c r="AB138" s="39" t="n">
        <f aca="false">1-AA138*(1-INDEX('Perfil e pressupostos'!$C$14:$C$20,MATCH(Z138,'Perfil e pressupostos'!$A$14:$A$20,0)))</f>
        <v>0.44</v>
      </c>
      <c r="AC138" s="38" t="n">
        <v>0.3</v>
      </c>
      <c r="AD138" s="38" t="n">
        <v>0.5</v>
      </c>
      <c r="AE138" s="38" t="n">
        <v>0.7</v>
      </c>
      <c r="AF138" s="40" t="n">
        <f aca="false">100*('Perfil e pressupostos'!$F$14*AB138+'Perfil e pressupostos'!$F$15*AC138+'Perfil e pressupostos'!$F$16*AD138+'Perfil e pressupostos'!$F$17*AE138)/'Perfil e pressupostos'!$F$18</f>
        <v>45.2</v>
      </c>
      <c r="AG138" s="41" t="n">
        <f aca="false">INDEX('Perfil e pressupostos'!$B$25:$B$28,MATCH(V138,'Perfil e pressupostos'!$A$25:$A$28,0))</f>
        <v>0.03</v>
      </c>
      <c r="AH138" s="41" t="n">
        <f aca="false">MIN('Perfil e pressupostos'!$F$29,AG138*('Perfil e pressupostos'!$F$25+'Perfil e pressupostos'!$F$26*AF138/100)*IF(AD138&lt;='Perfil e pressupostos'!$F$28,'Perfil e pressupostos'!$F$27,1))</f>
        <v>0.028272</v>
      </c>
      <c r="AI138" s="35" t="str">
        <f aca="false">IF(AQ138=0,"—",IF(AH138&gt;='Perfil e pressupostos'!$F$30,"Boa",IF(AH138&gt;='Perfil e pressupostos'!$F$31,"Média","Baixa")))</f>
        <v>Baixa</v>
      </c>
      <c r="AJ138" s="7" t="s">
        <v>780</v>
      </c>
      <c r="AK138" s="7" t="s">
        <v>215</v>
      </c>
      <c r="AL138" s="35" t="str">
        <f aca="false">IF(AK138="Prazo expirado","Prazo passado",IF(LEFT(AK138,11)="Monitorizar","Monitorizar",IF(Y138&gt;=3.5,"Prioridade",IF(Y138&gt;=3,"Candidatar (reach)","Reserva"))))</f>
        <v>Reserva</v>
      </c>
      <c r="AM138" s="7" t="s">
        <v>548</v>
      </c>
      <c r="AN138" s="42" t="s">
        <v>863</v>
      </c>
      <c r="AO138" s="7" t="s">
        <v>187</v>
      </c>
      <c r="AP138" s="7" t="s">
        <v>218</v>
      </c>
      <c r="AQ138" s="7" t="n">
        <f aca="false">IF(OR(AK138="Prazo expirado",LEFT(AK138,11)="Monitorizar"),0,1)</f>
        <v>1</v>
      </c>
      <c r="AR138" s="41" t="n">
        <f aca="false">IF(AQ138=0,0,AH138)</f>
        <v>0.028272</v>
      </c>
      <c r="AS138" s="41" t="n">
        <f aca="false">AR138*W138/5</f>
        <v>0.0226176</v>
      </c>
      <c r="AT138" s="43" t="n">
        <f aca="false">AS138+W138/1000000+(1000-ROW())/1000000000</f>
        <v>0.022622462</v>
      </c>
      <c r="AU138" s="35" t="n">
        <f aca="false">RANK(AT138,$AT$4:$AT$227)</f>
        <v>69</v>
      </c>
      <c r="AV138" s="40" t="n">
        <f aca="false">IF(AQ138=0,"",AF138)</f>
        <v>45.2</v>
      </c>
      <c r="AW138" s="41" t="n">
        <f aca="false">IF(AQ138=0,"",AH138)</f>
        <v>0.028272</v>
      </c>
    </row>
    <row r="139" customFormat="false" ht="45" hidden="false" customHeight="true" outlineLevel="0" collapsed="false">
      <c r="A139" s="35" t="n">
        <v>136</v>
      </c>
      <c r="B139" s="7" t="s">
        <v>861</v>
      </c>
      <c r="C139" s="7" t="s">
        <v>864</v>
      </c>
      <c r="D139" s="7" t="s">
        <v>627</v>
      </c>
      <c r="E139" s="7" t="s">
        <v>170</v>
      </c>
      <c r="F139" s="35" t="s">
        <v>97</v>
      </c>
      <c r="G139" s="7" t="s">
        <v>589</v>
      </c>
      <c r="H139" s="7" t="s">
        <v>172</v>
      </c>
      <c r="I139" s="7" t="s">
        <v>215</v>
      </c>
      <c r="J139" s="35" t="s">
        <v>207</v>
      </c>
      <c r="K139" s="7" t="s">
        <v>628</v>
      </c>
      <c r="L139" s="7" t="s">
        <v>629</v>
      </c>
      <c r="M139" s="7" t="s">
        <v>590</v>
      </c>
      <c r="N139" s="7" t="s">
        <v>215</v>
      </c>
      <c r="O139" s="7" t="s">
        <v>179</v>
      </c>
      <c r="P139" s="35" t="str">
        <f aca="true">IF(ISNUMBER(O139),O139-TODAY(),"")</f>
        <v/>
      </c>
      <c r="Q139" s="7" t="s">
        <v>179</v>
      </c>
      <c r="R139" s="36" t="n">
        <v>800</v>
      </c>
      <c r="S139" s="36" t="n">
        <v>1500</v>
      </c>
      <c r="T139" s="37" t="n">
        <f aca="false">IF(R139="","",AVERAGE(R139,S139))</f>
        <v>1150</v>
      </c>
      <c r="U139" s="7" t="s">
        <v>547</v>
      </c>
      <c r="V139" s="38" t="s">
        <v>199</v>
      </c>
      <c r="W139" s="38" t="n">
        <v>3</v>
      </c>
      <c r="X139" s="38" t="n">
        <v>1.3</v>
      </c>
      <c r="Y139" s="35" t="n">
        <f aca="false">ROUND(0.6*W139+0.4*X139,1)</f>
        <v>2.3</v>
      </c>
      <c r="Z139" s="38" t="s">
        <v>591</v>
      </c>
      <c r="AA139" s="38" t="n">
        <v>0.7</v>
      </c>
      <c r="AB139" s="39" t="n">
        <f aca="false">1-AA139*(1-INDEX('Perfil e pressupostos'!$C$14:$C$20,MATCH(Z139,'Perfil e pressupostos'!$A$14:$A$20,0)))</f>
        <v>0.51</v>
      </c>
      <c r="AC139" s="38" t="n">
        <v>0.3</v>
      </c>
      <c r="AD139" s="38" t="n">
        <v>0.5</v>
      </c>
      <c r="AE139" s="38" t="n">
        <v>0.7</v>
      </c>
      <c r="AF139" s="40" t="n">
        <f aca="false">100*('Perfil e pressupostos'!$F$14*AB139+'Perfil e pressupostos'!$F$15*AC139+'Perfil e pressupostos'!$F$16*AD139+'Perfil e pressupostos'!$F$17*AE139)/'Perfil e pressupostos'!$F$18</f>
        <v>47.3</v>
      </c>
      <c r="AG139" s="41" t="n">
        <f aca="false">INDEX('Perfil e pressupostos'!$B$25:$B$28,MATCH(V139,'Perfil e pressupostos'!$A$25:$A$28,0))</f>
        <v>0.03</v>
      </c>
      <c r="AH139" s="41" t="n">
        <f aca="false">MIN('Perfil e pressupostos'!$F$29,AG139*('Perfil e pressupostos'!$F$25+'Perfil e pressupostos'!$F$26*AF139/100)*IF(AD139&lt;='Perfil e pressupostos'!$F$28,'Perfil e pressupostos'!$F$27,1))</f>
        <v>0.029028</v>
      </c>
      <c r="AI139" s="35" t="str">
        <f aca="false">IF(AQ139=0,"—",IF(AH139&gt;='Perfil e pressupostos'!$F$30,"Boa",IF(AH139&gt;='Perfil e pressupostos'!$F$31,"Média","Baixa")))</f>
        <v>Baixa</v>
      </c>
      <c r="AJ139" s="7" t="s">
        <v>865</v>
      </c>
      <c r="AK139" s="7" t="s">
        <v>215</v>
      </c>
      <c r="AL139" s="35" t="str">
        <f aca="false">IF(AK139="Prazo expirado","Prazo passado",IF(LEFT(AK139,11)="Monitorizar","Monitorizar",IF(Y139&gt;=3.5,"Prioridade",IF(Y139&gt;=3,"Candidatar (reach)","Reserva"))))</f>
        <v>Reserva</v>
      </c>
      <c r="AM139" s="7" t="s">
        <v>548</v>
      </c>
      <c r="AN139" s="42" t="s">
        <v>866</v>
      </c>
      <c r="AO139" s="7" t="s">
        <v>187</v>
      </c>
      <c r="AP139" s="7" t="s">
        <v>218</v>
      </c>
      <c r="AQ139" s="7" t="n">
        <f aca="false">IF(OR(AK139="Prazo expirado",LEFT(AK139,11)="Monitorizar"),0,1)</f>
        <v>1</v>
      </c>
      <c r="AR139" s="41" t="n">
        <f aca="false">IF(AQ139=0,0,AH139)</f>
        <v>0.029028</v>
      </c>
      <c r="AS139" s="41" t="n">
        <f aca="false">AR139*W139/5</f>
        <v>0.0174168</v>
      </c>
      <c r="AT139" s="43" t="n">
        <f aca="false">AS139+W139/1000000+(1000-ROW())/1000000000</f>
        <v>0.017420661</v>
      </c>
      <c r="AU139" s="35" t="n">
        <f aca="false">RANK(AT139,$AT$4:$AT$227)</f>
        <v>88</v>
      </c>
      <c r="AV139" s="40" t="n">
        <f aca="false">IF(AQ139=0,"",AF139)</f>
        <v>47.3</v>
      </c>
      <c r="AW139" s="41" t="n">
        <f aca="false">IF(AQ139=0,"",AH139)</f>
        <v>0.029028</v>
      </c>
    </row>
    <row r="140" customFormat="false" ht="45" hidden="false" customHeight="true" outlineLevel="0" collapsed="false">
      <c r="A140" s="35" t="n">
        <v>137</v>
      </c>
      <c r="B140" s="7" t="s">
        <v>867</v>
      </c>
      <c r="C140" s="7" t="s">
        <v>868</v>
      </c>
      <c r="D140" s="7" t="s">
        <v>191</v>
      </c>
      <c r="E140" s="7" t="s">
        <v>310</v>
      </c>
      <c r="F140" s="35" t="s">
        <v>85</v>
      </c>
      <c r="G140" s="7" t="s">
        <v>205</v>
      </c>
      <c r="H140" s="7" t="s">
        <v>172</v>
      </c>
      <c r="I140" s="7" t="s">
        <v>869</v>
      </c>
      <c r="J140" s="35" t="s">
        <v>207</v>
      </c>
      <c r="K140" s="7" t="s">
        <v>612</v>
      </c>
      <c r="L140" s="7" t="s">
        <v>613</v>
      </c>
      <c r="M140" s="7" t="s">
        <v>546</v>
      </c>
      <c r="N140" s="7" t="s">
        <v>215</v>
      </c>
      <c r="O140" s="7" t="s">
        <v>179</v>
      </c>
      <c r="P140" s="35" t="str">
        <f aca="true">IF(ISNUMBER(O140),O140-TODAY(),"")</f>
        <v/>
      </c>
      <c r="Q140" s="7" t="s">
        <v>179</v>
      </c>
      <c r="R140" s="36" t="n">
        <v>1500</v>
      </c>
      <c r="S140" s="36" t="n">
        <v>2500</v>
      </c>
      <c r="T140" s="37" t="n">
        <f aca="false">IF(R140="","",AVERAGE(R140,S140))</f>
        <v>2000</v>
      </c>
      <c r="U140" s="7" t="s">
        <v>547</v>
      </c>
      <c r="V140" s="38" t="s">
        <v>181</v>
      </c>
      <c r="W140" s="38" t="n">
        <v>4</v>
      </c>
      <c r="X140" s="38" t="n">
        <v>1.3</v>
      </c>
      <c r="Y140" s="35" t="n">
        <f aca="false">ROUND(0.6*W140+0.4*X140,1)</f>
        <v>2.9</v>
      </c>
      <c r="Z140" s="38" t="s">
        <v>213</v>
      </c>
      <c r="AA140" s="38" t="n">
        <v>0.5</v>
      </c>
      <c r="AB140" s="39" t="n">
        <f aca="false">1-AA140*(1-INDEX('Perfil e pressupostos'!$C$14:$C$20,MATCH(Z140,'Perfil e pressupostos'!$A$14:$A$20,0)))</f>
        <v>0.525</v>
      </c>
      <c r="AC140" s="38" t="n">
        <v>0.3</v>
      </c>
      <c r="AD140" s="38" t="n">
        <v>0.5</v>
      </c>
      <c r="AE140" s="38" t="n">
        <v>0.7</v>
      </c>
      <c r="AF140" s="40" t="n">
        <f aca="false">100*('Perfil e pressupostos'!$F$14*AB140+'Perfil e pressupostos'!$F$15*AC140+'Perfil e pressupostos'!$F$16*AD140+'Perfil e pressupostos'!$F$17*AE140)/'Perfil e pressupostos'!$F$18</f>
        <v>47.75</v>
      </c>
      <c r="AG140" s="41" t="n">
        <f aca="false">INDEX('Perfil e pressupostos'!$B$25:$B$28,MATCH(V140,'Perfil e pressupostos'!$A$25:$A$28,0))</f>
        <v>0.01</v>
      </c>
      <c r="AH140" s="41" t="n">
        <f aca="false">MIN('Perfil e pressupostos'!$F$29,AG140*('Perfil e pressupostos'!$F$25+'Perfil e pressupostos'!$F$26*AF140/100)*IF(AD140&lt;='Perfil e pressupostos'!$F$28,'Perfil e pressupostos'!$F$27,1))</f>
        <v>0.00973</v>
      </c>
      <c r="AI140" s="35" t="str">
        <f aca="false">IF(AQ140=0,"—",IF(AH140&gt;='Perfil e pressupostos'!$F$30,"Boa",IF(AH140&gt;='Perfil e pressupostos'!$F$31,"Média","Baixa")))</f>
        <v>Baixa</v>
      </c>
      <c r="AJ140" s="7" t="s">
        <v>453</v>
      </c>
      <c r="AK140" s="7" t="s">
        <v>215</v>
      </c>
      <c r="AL140" s="35" t="str">
        <f aca="false">IF(AK140="Prazo expirado","Prazo passado",IF(LEFT(AK140,11)="Monitorizar","Monitorizar",IF(Y140&gt;=3.5,"Prioridade",IF(Y140&gt;=3,"Candidatar (reach)","Reserva"))))</f>
        <v>Reserva</v>
      </c>
      <c r="AM140" s="7" t="s">
        <v>548</v>
      </c>
      <c r="AN140" s="42" t="s">
        <v>870</v>
      </c>
      <c r="AO140" s="7" t="s">
        <v>361</v>
      </c>
      <c r="AP140" s="7" t="s">
        <v>218</v>
      </c>
      <c r="AQ140" s="7" t="n">
        <f aca="false">IF(OR(AK140="Prazo expirado",LEFT(AK140,11)="Monitorizar"),0,1)</f>
        <v>1</v>
      </c>
      <c r="AR140" s="41" t="n">
        <f aca="false">IF(AQ140=0,0,AH140)</f>
        <v>0.00973</v>
      </c>
      <c r="AS140" s="41" t="n">
        <f aca="false">AR140*W140/5</f>
        <v>0.007784</v>
      </c>
      <c r="AT140" s="43" t="n">
        <f aca="false">AS140+W140/1000000+(1000-ROW())/1000000000</f>
        <v>0.00778886</v>
      </c>
      <c r="AU140" s="35" t="n">
        <f aca="false">RANK(AT140,$AT$4:$AT$227)</f>
        <v>155</v>
      </c>
      <c r="AV140" s="40" t="n">
        <f aca="false">IF(AQ140=0,"",AF140)</f>
        <v>47.75</v>
      </c>
      <c r="AW140" s="41" t="n">
        <f aca="false">IF(AQ140=0,"",AH140)</f>
        <v>0.00973</v>
      </c>
    </row>
    <row r="141" customFormat="false" ht="45" hidden="false" customHeight="true" outlineLevel="0" collapsed="false">
      <c r="A141" s="35" t="n">
        <v>138</v>
      </c>
      <c r="B141" s="7" t="s">
        <v>867</v>
      </c>
      <c r="C141" s="7" t="s">
        <v>871</v>
      </c>
      <c r="D141" s="7" t="s">
        <v>375</v>
      </c>
      <c r="E141" s="7" t="s">
        <v>310</v>
      </c>
      <c r="F141" s="35" t="s">
        <v>85</v>
      </c>
      <c r="G141" s="7" t="s">
        <v>205</v>
      </c>
      <c r="H141" s="7" t="s">
        <v>172</v>
      </c>
      <c r="I141" s="7" t="s">
        <v>465</v>
      </c>
      <c r="J141" s="35" t="s">
        <v>207</v>
      </c>
      <c r="K141" s="7" t="s">
        <v>559</v>
      </c>
      <c r="L141" s="7" t="s">
        <v>560</v>
      </c>
      <c r="M141" s="7" t="s">
        <v>546</v>
      </c>
      <c r="N141" s="7" t="s">
        <v>215</v>
      </c>
      <c r="O141" s="7" t="s">
        <v>179</v>
      </c>
      <c r="P141" s="35" t="str">
        <f aca="true">IF(ISNUMBER(O141),O141-TODAY(),"")</f>
        <v/>
      </c>
      <c r="Q141" s="7" t="s">
        <v>179</v>
      </c>
      <c r="R141" s="36" t="n">
        <v>1500</v>
      </c>
      <c r="S141" s="36" t="n">
        <v>2500</v>
      </c>
      <c r="T141" s="37" t="n">
        <f aca="false">IF(R141="","",AVERAGE(R141,S141))</f>
        <v>2000</v>
      </c>
      <c r="U141" s="7" t="s">
        <v>547</v>
      </c>
      <c r="V141" s="38" t="s">
        <v>181</v>
      </c>
      <c r="W141" s="38" t="n">
        <v>4</v>
      </c>
      <c r="X141" s="38" t="n">
        <v>1.3</v>
      </c>
      <c r="Y141" s="35" t="n">
        <f aca="false">ROUND(0.6*W141+0.4*X141,1)</f>
        <v>2.9</v>
      </c>
      <c r="Z141" s="38" t="s">
        <v>213</v>
      </c>
      <c r="AA141" s="38" t="n">
        <v>0.5</v>
      </c>
      <c r="AB141" s="39" t="n">
        <f aca="false">1-AA141*(1-INDEX('Perfil e pressupostos'!$C$14:$C$20,MATCH(Z141,'Perfil e pressupostos'!$A$14:$A$20,0)))</f>
        <v>0.525</v>
      </c>
      <c r="AC141" s="38" t="n">
        <v>0.3</v>
      </c>
      <c r="AD141" s="38" t="n">
        <v>0.5</v>
      </c>
      <c r="AE141" s="38" t="n">
        <v>0.7</v>
      </c>
      <c r="AF141" s="40" t="n">
        <f aca="false">100*('Perfil e pressupostos'!$F$14*AB141+'Perfil e pressupostos'!$F$15*AC141+'Perfil e pressupostos'!$F$16*AD141+'Perfil e pressupostos'!$F$17*AE141)/'Perfil e pressupostos'!$F$18</f>
        <v>47.75</v>
      </c>
      <c r="AG141" s="41" t="n">
        <f aca="false">INDEX('Perfil e pressupostos'!$B$25:$B$28,MATCH(V141,'Perfil e pressupostos'!$A$25:$A$28,0))</f>
        <v>0.01</v>
      </c>
      <c r="AH141" s="41" t="n">
        <f aca="false">MIN('Perfil e pressupostos'!$F$29,AG141*('Perfil e pressupostos'!$F$25+'Perfil e pressupostos'!$F$26*AF141/100)*IF(AD141&lt;='Perfil e pressupostos'!$F$28,'Perfil e pressupostos'!$F$27,1))</f>
        <v>0.00973</v>
      </c>
      <c r="AI141" s="35" t="str">
        <f aca="false">IF(AQ141=0,"—",IF(AH141&gt;='Perfil e pressupostos'!$F$30,"Boa",IF(AH141&gt;='Perfil e pressupostos'!$F$31,"Média","Baixa")))</f>
        <v>Baixa</v>
      </c>
      <c r="AJ141" s="7" t="s">
        <v>453</v>
      </c>
      <c r="AK141" s="7" t="s">
        <v>215</v>
      </c>
      <c r="AL141" s="35" t="str">
        <f aca="false">IF(AK141="Prazo expirado","Prazo passado",IF(LEFT(AK141,11)="Monitorizar","Monitorizar",IF(Y141&gt;=3.5,"Prioridade",IF(Y141&gt;=3,"Candidatar (reach)","Reserva"))))</f>
        <v>Reserva</v>
      </c>
      <c r="AM141" s="7" t="s">
        <v>548</v>
      </c>
      <c r="AN141" s="42" t="s">
        <v>872</v>
      </c>
      <c r="AO141" s="7" t="s">
        <v>361</v>
      </c>
      <c r="AP141" s="7" t="s">
        <v>218</v>
      </c>
      <c r="AQ141" s="7" t="n">
        <f aca="false">IF(OR(AK141="Prazo expirado",LEFT(AK141,11)="Monitorizar"),0,1)</f>
        <v>1</v>
      </c>
      <c r="AR141" s="41" t="n">
        <f aca="false">IF(AQ141=0,0,AH141)</f>
        <v>0.00973</v>
      </c>
      <c r="AS141" s="41" t="n">
        <f aca="false">AR141*W141/5</f>
        <v>0.007784</v>
      </c>
      <c r="AT141" s="43" t="n">
        <f aca="false">AS141+W141/1000000+(1000-ROW())/1000000000</f>
        <v>0.007788859</v>
      </c>
      <c r="AU141" s="35" t="n">
        <f aca="false">RANK(AT141,$AT$4:$AT$227)</f>
        <v>156</v>
      </c>
      <c r="AV141" s="40" t="n">
        <f aca="false">IF(AQ141=0,"",AF141)</f>
        <v>47.75</v>
      </c>
      <c r="AW141" s="41" t="n">
        <f aca="false">IF(AQ141=0,"",AH141)</f>
        <v>0.00973</v>
      </c>
    </row>
    <row r="142" customFormat="false" ht="45" hidden="false" customHeight="true" outlineLevel="0" collapsed="false">
      <c r="A142" s="35" t="n">
        <v>139</v>
      </c>
      <c r="B142" s="7" t="s">
        <v>867</v>
      </c>
      <c r="C142" s="7" t="s">
        <v>873</v>
      </c>
      <c r="D142" s="7" t="s">
        <v>191</v>
      </c>
      <c r="E142" s="7" t="s">
        <v>310</v>
      </c>
      <c r="F142" s="35" t="s">
        <v>87</v>
      </c>
      <c r="G142" s="7" t="s">
        <v>457</v>
      </c>
      <c r="H142" s="7" t="s">
        <v>172</v>
      </c>
      <c r="I142" s="7" t="s">
        <v>465</v>
      </c>
      <c r="J142" s="35" t="s">
        <v>207</v>
      </c>
      <c r="K142" s="7" t="s">
        <v>612</v>
      </c>
      <c r="L142" s="7" t="s">
        <v>613</v>
      </c>
      <c r="M142" s="7" t="s">
        <v>576</v>
      </c>
      <c r="N142" s="7" t="s">
        <v>215</v>
      </c>
      <c r="O142" s="7" t="s">
        <v>179</v>
      </c>
      <c r="P142" s="35" t="str">
        <f aca="true">IF(ISNUMBER(O142),O142-TODAY(),"")</f>
        <v/>
      </c>
      <c r="Q142" s="7" t="s">
        <v>179</v>
      </c>
      <c r="R142" s="36" t="n">
        <v>1800</v>
      </c>
      <c r="S142" s="36" t="n">
        <v>2800</v>
      </c>
      <c r="T142" s="37" t="n">
        <f aca="false">IF(R142="","",AVERAGE(R142,S142))</f>
        <v>2300</v>
      </c>
      <c r="U142" s="7" t="s">
        <v>547</v>
      </c>
      <c r="V142" s="38" t="s">
        <v>181</v>
      </c>
      <c r="W142" s="38" t="n">
        <v>4</v>
      </c>
      <c r="X142" s="38" t="n">
        <v>1.3</v>
      </c>
      <c r="Y142" s="35" t="n">
        <f aca="false">ROUND(0.6*W142+0.4*X142,1)</f>
        <v>2.9</v>
      </c>
      <c r="Z142" s="38" t="s">
        <v>304</v>
      </c>
      <c r="AA142" s="38" t="n">
        <v>0.4</v>
      </c>
      <c r="AB142" s="39" t="n">
        <f aca="false">1-AA142*(1-INDEX('Perfil e pressupostos'!$C$14:$C$20,MATCH(Z142,'Perfil e pressupostos'!$A$14:$A$20,0)))</f>
        <v>0.62</v>
      </c>
      <c r="AC142" s="38" t="n">
        <v>0.3</v>
      </c>
      <c r="AD142" s="38" t="n">
        <v>0.5</v>
      </c>
      <c r="AE142" s="38" t="n">
        <v>0.7</v>
      </c>
      <c r="AF142" s="40" t="n">
        <f aca="false">100*('Perfil e pressupostos'!$F$14*AB142+'Perfil e pressupostos'!$F$15*AC142+'Perfil e pressupostos'!$F$16*AD142+'Perfil e pressupostos'!$F$17*AE142)/'Perfil e pressupostos'!$F$18</f>
        <v>50.6</v>
      </c>
      <c r="AG142" s="41" t="n">
        <f aca="false">INDEX('Perfil e pressupostos'!$B$25:$B$28,MATCH(V142,'Perfil e pressupostos'!$A$25:$A$28,0))</f>
        <v>0.01</v>
      </c>
      <c r="AH142" s="41" t="n">
        <f aca="false">MIN('Perfil e pressupostos'!$F$29,AG142*('Perfil e pressupostos'!$F$25+'Perfil e pressupostos'!$F$26*AF142/100)*IF(AD142&lt;='Perfil e pressupostos'!$F$28,'Perfil e pressupostos'!$F$27,1))</f>
        <v>0.010072</v>
      </c>
      <c r="AI142" s="35" t="str">
        <f aca="false">IF(AQ142=0,"—",IF(AH142&gt;='Perfil e pressupostos'!$F$30,"Boa",IF(AH142&gt;='Perfil e pressupostos'!$F$31,"Média","Baixa")))</f>
        <v>Baixa</v>
      </c>
      <c r="AJ142" s="7" t="s">
        <v>596</v>
      </c>
      <c r="AK142" s="7" t="s">
        <v>215</v>
      </c>
      <c r="AL142" s="35" t="str">
        <f aca="false">IF(AK142="Prazo expirado","Prazo passado",IF(LEFT(AK142,11)="Monitorizar","Monitorizar",IF(Y142&gt;=3.5,"Prioridade",IF(Y142&gt;=3,"Candidatar (reach)","Reserva"))))</f>
        <v>Reserva</v>
      </c>
      <c r="AM142" s="7" t="s">
        <v>548</v>
      </c>
      <c r="AN142" s="42" t="s">
        <v>874</v>
      </c>
      <c r="AO142" s="7" t="s">
        <v>361</v>
      </c>
      <c r="AP142" s="7" t="s">
        <v>218</v>
      </c>
      <c r="AQ142" s="7" t="n">
        <f aca="false">IF(OR(AK142="Prazo expirado",LEFT(AK142,11)="Monitorizar"),0,1)</f>
        <v>1</v>
      </c>
      <c r="AR142" s="41" t="n">
        <f aca="false">IF(AQ142=0,0,AH142)</f>
        <v>0.010072</v>
      </c>
      <c r="AS142" s="41" t="n">
        <f aca="false">AR142*W142/5</f>
        <v>0.0080576</v>
      </c>
      <c r="AT142" s="43" t="n">
        <f aca="false">AS142+W142/1000000+(1000-ROW())/1000000000</f>
        <v>0.008062458</v>
      </c>
      <c r="AU142" s="35" t="n">
        <f aca="false">RANK(AT142,$AT$4:$AT$227)</f>
        <v>146</v>
      </c>
      <c r="AV142" s="40" t="n">
        <f aca="false">IF(AQ142=0,"",AF142)</f>
        <v>50.6</v>
      </c>
      <c r="AW142" s="41" t="n">
        <f aca="false">IF(AQ142=0,"",AH142)</f>
        <v>0.010072</v>
      </c>
    </row>
    <row r="143" customFormat="false" ht="33.75" hidden="false" customHeight="true" outlineLevel="0" collapsed="false">
      <c r="A143" s="35" t="n">
        <v>140</v>
      </c>
      <c r="B143" s="7" t="s">
        <v>474</v>
      </c>
      <c r="C143" s="7" t="s">
        <v>875</v>
      </c>
      <c r="D143" s="7" t="s">
        <v>764</v>
      </c>
      <c r="E143" s="7" t="s">
        <v>310</v>
      </c>
      <c r="F143" s="35" t="s">
        <v>85</v>
      </c>
      <c r="G143" s="7" t="s">
        <v>205</v>
      </c>
      <c r="H143" s="7" t="s">
        <v>172</v>
      </c>
      <c r="I143" s="7" t="s">
        <v>465</v>
      </c>
      <c r="J143" s="35" t="s">
        <v>207</v>
      </c>
      <c r="K143" s="7" t="s">
        <v>765</v>
      </c>
      <c r="L143" s="7" t="s">
        <v>766</v>
      </c>
      <c r="M143" s="7" t="s">
        <v>546</v>
      </c>
      <c r="N143" s="7" t="s">
        <v>215</v>
      </c>
      <c r="O143" s="7" t="s">
        <v>179</v>
      </c>
      <c r="P143" s="35" t="str">
        <f aca="true">IF(ISNUMBER(O143),O143-TODAY(),"")</f>
        <v/>
      </c>
      <c r="Q143" s="7" t="s">
        <v>179</v>
      </c>
      <c r="R143" s="36" t="n">
        <v>1500</v>
      </c>
      <c r="S143" s="36" t="n">
        <v>2500</v>
      </c>
      <c r="T143" s="37" t="n">
        <f aca="false">IF(R143="","",AVERAGE(R143,S143))</f>
        <v>2000</v>
      </c>
      <c r="U143" s="7" t="s">
        <v>547</v>
      </c>
      <c r="V143" s="38" t="s">
        <v>181</v>
      </c>
      <c r="W143" s="38" t="n">
        <v>3</v>
      </c>
      <c r="X143" s="38" t="n">
        <v>1.3</v>
      </c>
      <c r="Y143" s="35" t="n">
        <f aca="false">ROUND(0.6*W143+0.4*X143,1)</f>
        <v>2.3</v>
      </c>
      <c r="Z143" s="38" t="s">
        <v>213</v>
      </c>
      <c r="AA143" s="38" t="n">
        <v>0.5</v>
      </c>
      <c r="AB143" s="39" t="n">
        <f aca="false">1-AA143*(1-INDEX('Perfil e pressupostos'!$C$14:$C$20,MATCH(Z143,'Perfil e pressupostos'!$A$14:$A$20,0)))</f>
        <v>0.525</v>
      </c>
      <c r="AC143" s="38" t="n">
        <v>0.3</v>
      </c>
      <c r="AD143" s="38" t="n">
        <v>0.5</v>
      </c>
      <c r="AE143" s="38" t="n">
        <v>0.7</v>
      </c>
      <c r="AF143" s="40" t="n">
        <f aca="false">100*('Perfil e pressupostos'!$F$14*AB143+'Perfil e pressupostos'!$F$15*AC143+'Perfil e pressupostos'!$F$16*AD143+'Perfil e pressupostos'!$F$17*AE143)/'Perfil e pressupostos'!$F$18</f>
        <v>47.75</v>
      </c>
      <c r="AG143" s="41" t="n">
        <f aca="false">INDEX('Perfil e pressupostos'!$B$25:$B$28,MATCH(V143,'Perfil e pressupostos'!$A$25:$A$28,0))</f>
        <v>0.01</v>
      </c>
      <c r="AH143" s="41" t="n">
        <f aca="false">MIN('Perfil e pressupostos'!$F$29,AG143*('Perfil e pressupostos'!$F$25+'Perfil e pressupostos'!$F$26*AF143/100)*IF(AD143&lt;='Perfil e pressupostos'!$F$28,'Perfil e pressupostos'!$F$27,1))</f>
        <v>0.00973</v>
      </c>
      <c r="AI143" s="35" t="str">
        <f aca="false">IF(AQ143=0,"—",IF(AH143&gt;='Perfil e pressupostos'!$F$30,"Boa",IF(AH143&gt;='Perfil e pressupostos'!$F$31,"Média","Baixa")))</f>
        <v>Baixa</v>
      </c>
      <c r="AJ143" s="7" t="s">
        <v>453</v>
      </c>
      <c r="AK143" s="7" t="s">
        <v>215</v>
      </c>
      <c r="AL143" s="35" t="str">
        <f aca="false">IF(AK143="Prazo expirado","Prazo passado",IF(LEFT(AK143,11)="Monitorizar","Monitorizar",IF(Y143&gt;=3.5,"Prioridade",IF(Y143&gt;=3,"Candidatar (reach)","Reserva"))))</f>
        <v>Reserva</v>
      </c>
      <c r="AM143" s="7" t="s">
        <v>548</v>
      </c>
      <c r="AN143" s="42" t="s">
        <v>876</v>
      </c>
      <c r="AO143" s="7" t="s">
        <v>361</v>
      </c>
      <c r="AP143" s="7" t="s">
        <v>218</v>
      </c>
      <c r="AQ143" s="7" t="n">
        <f aca="false">IF(OR(AK143="Prazo expirado",LEFT(AK143,11)="Monitorizar"),0,1)</f>
        <v>1</v>
      </c>
      <c r="AR143" s="41" t="n">
        <f aca="false">IF(AQ143=0,0,AH143)</f>
        <v>0.00973</v>
      </c>
      <c r="AS143" s="41" t="n">
        <f aca="false">AR143*W143/5</f>
        <v>0.005838</v>
      </c>
      <c r="AT143" s="43" t="n">
        <f aca="false">AS143+W143/1000000+(1000-ROW())/1000000000</f>
        <v>0.005841857</v>
      </c>
      <c r="AU143" s="35" t="n">
        <f aca="false">RANK(AT143,$AT$4:$AT$227)</f>
        <v>191</v>
      </c>
      <c r="AV143" s="40" t="n">
        <f aca="false">IF(AQ143=0,"",AF143)</f>
        <v>47.75</v>
      </c>
      <c r="AW143" s="41" t="n">
        <f aca="false">IF(AQ143=0,"",AH143)</f>
        <v>0.00973</v>
      </c>
    </row>
    <row r="144" customFormat="false" ht="45" hidden="false" customHeight="true" outlineLevel="0" collapsed="false">
      <c r="A144" s="35" t="n">
        <v>141</v>
      </c>
      <c r="B144" s="7" t="s">
        <v>474</v>
      </c>
      <c r="C144" s="7" t="s">
        <v>877</v>
      </c>
      <c r="D144" s="7" t="s">
        <v>764</v>
      </c>
      <c r="E144" s="7" t="s">
        <v>310</v>
      </c>
      <c r="F144" s="35" t="s">
        <v>95</v>
      </c>
      <c r="G144" s="7" t="s">
        <v>575</v>
      </c>
      <c r="H144" s="7" t="s">
        <v>172</v>
      </c>
      <c r="I144" s="7" t="s">
        <v>465</v>
      </c>
      <c r="J144" s="35" t="s">
        <v>207</v>
      </c>
      <c r="K144" s="7" t="s">
        <v>765</v>
      </c>
      <c r="L144" s="7" t="s">
        <v>766</v>
      </c>
      <c r="M144" s="7" t="s">
        <v>576</v>
      </c>
      <c r="N144" s="7" t="s">
        <v>215</v>
      </c>
      <c r="O144" s="7" t="s">
        <v>179</v>
      </c>
      <c r="P144" s="35" t="str">
        <f aca="true">IF(ISNUMBER(O144),O144-TODAY(),"")</f>
        <v/>
      </c>
      <c r="Q144" s="7" t="s">
        <v>179</v>
      </c>
      <c r="R144" s="36" t="n">
        <v>3000</v>
      </c>
      <c r="S144" s="36" t="n">
        <v>4500</v>
      </c>
      <c r="T144" s="37" t="n">
        <f aca="false">IF(R144="","",AVERAGE(R144,S144))</f>
        <v>3750</v>
      </c>
      <c r="U144" s="7" t="s">
        <v>547</v>
      </c>
      <c r="V144" s="38" t="s">
        <v>181</v>
      </c>
      <c r="W144" s="38" t="n">
        <v>3</v>
      </c>
      <c r="X144" s="38" t="n">
        <v>1.4</v>
      </c>
      <c r="Y144" s="35" t="n">
        <f aca="false">ROUND(0.6*W144+0.4*X144,1)</f>
        <v>2.4</v>
      </c>
      <c r="Z144" s="38" t="s">
        <v>304</v>
      </c>
      <c r="AA144" s="38" t="n">
        <v>0.3</v>
      </c>
      <c r="AB144" s="39" t="n">
        <f aca="false">1-AA144*(1-INDEX('Perfil e pressupostos'!$C$14:$C$20,MATCH(Z144,'Perfil e pressupostos'!$A$14:$A$20,0)))</f>
        <v>0.715</v>
      </c>
      <c r="AC144" s="38" t="n">
        <v>0.3</v>
      </c>
      <c r="AD144" s="38" t="n">
        <v>0.5</v>
      </c>
      <c r="AE144" s="38" t="n">
        <v>0.7</v>
      </c>
      <c r="AF144" s="40" t="n">
        <f aca="false">100*('Perfil e pressupostos'!$F$14*AB144+'Perfil e pressupostos'!$F$15*AC144+'Perfil e pressupostos'!$F$16*AD144+'Perfil e pressupostos'!$F$17*AE144)/'Perfil e pressupostos'!$F$18</f>
        <v>53.45</v>
      </c>
      <c r="AG144" s="41" t="n">
        <f aca="false">INDEX('Perfil e pressupostos'!$B$25:$B$28,MATCH(V144,'Perfil e pressupostos'!$A$25:$A$28,0))</f>
        <v>0.01</v>
      </c>
      <c r="AH144" s="41" t="n">
        <f aca="false">MIN('Perfil e pressupostos'!$F$29,AG144*('Perfil e pressupostos'!$F$25+'Perfil e pressupostos'!$F$26*AF144/100)*IF(AD144&lt;='Perfil e pressupostos'!$F$28,'Perfil e pressupostos'!$F$27,1))</f>
        <v>0.010414</v>
      </c>
      <c r="AI144" s="35" t="str">
        <f aca="false">IF(AQ144=0,"—",IF(AH144&gt;='Perfil e pressupostos'!$F$30,"Boa",IF(AH144&gt;='Perfil e pressupostos'!$F$31,"Média","Baixa")))</f>
        <v>Baixa</v>
      </c>
      <c r="AJ144" s="7" t="s">
        <v>577</v>
      </c>
      <c r="AK144" s="7" t="s">
        <v>215</v>
      </c>
      <c r="AL144" s="35" t="str">
        <f aca="false">IF(AK144="Prazo expirado","Prazo passado",IF(LEFT(AK144,11)="Monitorizar","Monitorizar",IF(Y144&gt;=3.5,"Prioridade",IF(Y144&gt;=3,"Candidatar (reach)","Reserva"))))</f>
        <v>Reserva</v>
      </c>
      <c r="AM144" s="7" t="s">
        <v>548</v>
      </c>
      <c r="AN144" s="42" t="s">
        <v>878</v>
      </c>
      <c r="AO144" s="7" t="s">
        <v>361</v>
      </c>
      <c r="AP144" s="7" t="s">
        <v>218</v>
      </c>
      <c r="AQ144" s="7" t="n">
        <f aca="false">IF(OR(AK144="Prazo expirado",LEFT(AK144,11)="Monitorizar"),0,1)</f>
        <v>1</v>
      </c>
      <c r="AR144" s="41" t="n">
        <f aca="false">IF(AQ144=0,0,AH144)</f>
        <v>0.010414</v>
      </c>
      <c r="AS144" s="41" t="n">
        <f aca="false">AR144*W144/5</f>
        <v>0.0062484</v>
      </c>
      <c r="AT144" s="43" t="n">
        <f aca="false">AS144+W144/1000000+(1000-ROW())/1000000000</f>
        <v>0.006252256</v>
      </c>
      <c r="AU144" s="35" t="n">
        <f aca="false">RANK(AT144,$AT$4:$AT$227)</f>
        <v>183</v>
      </c>
      <c r="AV144" s="40" t="n">
        <f aca="false">IF(AQ144=0,"",AF144)</f>
        <v>53.45</v>
      </c>
      <c r="AW144" s="41" t="n">
        <f aca="false">IF(AQ144=0,"",AH144)</f>
        <v>0.010414</v>
      </c>
    </row>
    <row r="145" customFormat="false" ht="45" hidden="false" customHeight="true" outlineLevel="0" collapsed="false">
      <c r="A145" s="35" t="n">
        <v>142</v>
      </c>
      <c r="B145" s="7" t="s">
        <v>879</v>
      </c>
      <c r="C145" s="7" t="s">
        <v>880</v>
      </c>
      <c r="D145" s="7" t="s">
        <v>582</v>
      </c>
      <c r="E145" s="7" t="s">
        <v>170</v>
      </c>
      <c r="F145" s="35" t="s">
        <v>85</v>
      </c>
      <c r="G145" s="7" t="s">
        <v>205</v>
      </c>
      <c r="H145" s="7" t="s">
        <v>172</v>
      </c>
      <c r="I145" s="7" t="s">
        <v>173</v>
      </c>
      <c r="J145" s="35" t="s">
        <v>207</v>
      </c>
      <c r="K145" s="7" t="s">
        <v>583</v>
      </c>
      <c r="L145" s="7" t="s">
        <v>584</v>
      </c>
      <c r="M145" s="7" t="s">
        <v>546</v>
      </c>
      <c r="N145" s="7" t="s">
        <v>215</v>
      </c>
      <c r="O145" s="7" t="s">
        <v>179</v>
      </c>
      <c r="P145" s="35" t="str">
        <f aca="true">IF(ISNUMBER(O145),O145-TODAY(),"")</f>
        <v/>
      </c>
      <c r="Q145" s="7" t="s">
        <v>179</v>
      </c>
      <c r="R145" s="36" t="n">
        <v>1500</v>
      </c>
      <c r="S145" s="36" t="n">
        <v>2500</v>
      </c>
      <c r="T145" s="37" t="n">
        <f aca="false">IF(R145="","",AVERAGE(R145,S145))</f>
        <v>2000</v>
      </c>
      <c r="U145" s="7" t="s">
        <v>547</v>
      </c>
      <c r="V145" s="38" t="s">
        <v>199</v>
      </c>
      <c r="W145" s="38" t="n">
        <v>4</v>
      </c>
      <c r="X145" s="38" t="n">
        <v>1.3</v>
      </c>
      <c r="Y145" s="35" t="n">
        <f aca="false">ROUND(0.6*W145+0.4*X145,1)</f>
        <v>2.9</v>
      </c>
      <c r="Z145" s="38" t="s">
        <v>213</v>
      </c>
      <c r="AA145" s="38" t="n">
        <v>0.5</v>
      </c>
      <c r="AB145" s="39" t="n">
        <f aca="false">1-AA145*(1-INDEX('Perfil e pressupostos'!$C$14:$C$20,MATCH(Z145,'Perfil e pressupostos'!$A$14:$A$20,0)))</f>
        <v>0.525</v>
      </c>
      <c r="AC145" s="38" t="n">
        <v>0.3</v>
      </c>
      <c r="AD145" s="38" t="n">
        <v>0.5</v>
      </c>
      <c r="AE145" s="38" t="n">
        <v>0.7</v>
      </c>
      <c r="AF145" s="40" t="n">
        <f aca="false">100*('Perfil e pressupostos'!$F$14*AB145+'Perfil e pressupostos'!$F$15*AC145+'Perfil e pressupostos'!$F$16*AD145+'Perfil e pressupostos'!$F$17*AE145)/'Perfil e pressupostos'!$F$18</f>
        <v>47.75</v>
      </c>
      <c r="AG145" s="41" t="n">
        <f aca="false">INDEX('Perfil e pressupostos'!$B$25:$B$28,MATCH(V145,'Perfil e pressupostos'!$A$25:$A$28,0))</f>
        <v>0.03</v>
      </c>
      <c r="AH145" s="41" t="n">
        <f aca="false">MIN('Perfil e pressupostos'!$F$29,AG145*('Perfil e pressupostos'!$F$25+'Perfil e pressupostos'!$F$26*AF145/100)*IF(AD145&lt;='Perfil e pressupostos'!$F$28,'Perfil e pressupostos'!$F$27,1))</f>
        <v>0.02919</v>
      </c>
      <c r="AI145" s="35" t="str">
        <f aca="false">IF(AQ145=0,"—",IF(AH145&gt;='Perfil e pressupostos'!$F$30,"Boa",IF(AH145&gt;='Perfil e pressupostos'!$F$31,"Média","Baixa")))</f>
        <v>Baixa</v>
      </c>
      <c r="AJ145" s="7" t="s">
        <v>453</v>
      </c>
      <c r="AK145" s="7" t="s">
        <v>215</v>
      </c>
      <c r="AL145" s="35" t="str">
        <f aca="false">IF(AK145="Prazo expirado","Prazo passado",IF(LEFT(AK145,11)="Monitorizar","Monitorizar",IF(Y145&gt;=3.5,"Prioridade",IF(Y145&gt;=3,"Candidatar (reach)","Reserva"))))</f>
        <v>Reserva</v>
      </c>
      <c r="AM145" s="7" t="s">
        <v>881</v>
      </c>
      <c r="AN145" s="42" t="s">
        <v>882</v>
      </c>
      <c r="AO145" s="7" t="s">
        <v>187</v>
      </c>
      <c r="AP145" s="7" t="s">
        <v>218</v>
      </c>
      <c r="AQ145" s="7" t="n">
        <f aca="false">IF(OR(AK145="Prazo expirado",LEFT(AK145,11)="Monitorizar"),0,1)</f>
        <v>1</v>
      </c>
      <c r="AR145" s="41" t="n">
        <f aca="false">IF(AQ145=0,0,AH145)</f>
        <v>0.02919</v>
      </c>
      <c r="AS145" s="41" t="n">
        <f aca="false">AR145*W145/5</f>
        <v>0.023352</v>
      </c>
      <c r="AT145" s="43" t="n">
        <f aca="false">AS145+W145/1000000+(1000-ROW())/1000000000</f>
        <v>0.023356855</v>
      </c>
      <c r="AU145" s="35" t="n">
        <f aca="false">RANK(AT145,$AT$4:$AT$227)</f>
        <v>68</v>
      </c>
      <c r="AV145" s="40" t="n">
        <f aca="false">IF(AQ145=0,"",AF145)</f>
        <v>47.75</v>
      </c>
      <c r="AW145" s="41" t="n">
        <f aca="false">IF(AQ145=0,"",AH145)</f>
        <v>0.02919</v>
      </c>
    </row>
    <row r="146" customFormat="false" ht="45" hidden="false" customHeight="true" outlineLevel="0" collapsed="false">
      <c r="A146" s="35" t="n">
        <v>143</v>
      </c>
      <c r="B146" s="7" t="s">
        <v>879</v>
      </c>
      <c r="C146" s="7" t="s">
        <v>883</v>
      </c>
      <c r="D146" s="7" t="s">
        <v>603</v>
      </c>
      <c r="E146" s="7" t="s">
        <v>170</v>
      </c>
      <c r="F146" s="35" t="s">
        <v>85</v>
      </c>
      <c r="G146" s="7" t="s">
        <v>205</v>
      </c>
      <c r="H146" s="7" t="s">
        <v>172</v>
      </c>
      <c r="I146" s="7" t="s">
        <v>220</v>
      </c>
      <c r="J146" s="35" t="s">
        <v>207</v>
      </c>
      <c r="K146" s="7" t="s">
        <v>604</v>
      </c>
      <c r="L146" s="7" t="s">
        <v>605</v>
      </c>
      <c r="M146" s="7" t="s">
        <v>546</v>
      </c>
      <c r="N146" s="7" t="s">
        <v>215</v>
      </c>
      <c r="O146" s="7" t="s">
        <v>179</v>
      </c>
      <c r="P146" s="35" t="str">
        <f aca="true">IF(ISNUMBER(O146),O146-TODAY(),"")</f>
        <v/>
      </c>
      <c r="Q146" s="7" t="s">
        <v>179</v>
      </c>
      <c r="R146" s="36" t="n">
        <v>1500</v>
      </c>
      <c r="S146" s="36" t="n">
        <v>2500</v>
      </c>
      <c r="T146" s="37" t="n">
        <f aca="false">IF(R146="","",AVERAGE(R146,S146))</f>
        <v>2000</v>
      </c>
      <c r="U146" s="7" t="s">
        <v>547</v>
      </c>
      <c r="V146" s="38" t="s">
        <v>199</v>
      </c>
      <c r="W146" s="38" t="n">
        <v>3.5</v>
      </c>
      <c r="X146" s="38" t="n">
        <v>1.3</v>
      </c>
      <c r="Y146" s="35" t="n">
        <f aca="false">ROUND(0.6*W146+0.4*X146,1)</f>
        <v>2.6</v>
      </c>
      <c r="Z146" s="38" t="s">
        <v>213</v>
      </c>
      <c r="AA146" s="38" t="n">
        <v>0.5</v>
      </c>
      <c r="AB146" s="39" t="n">
        <f aca="false">1-AA146*(1-INDEX('Perfil e pressupostos'!$C$14:$C$20,MATCH(Z146,'Perfil e pressupostos'!$A$14:$A$20,0)))</f>
        <v>0.525</v>
      </c>
      <c r="AC146" s="38" t="n">
        <v>0.3</v>
      </c>
      <c r="AD146" s="38" t="n">
        <v>0.5</v>
      </c>
      <c r="AE146" s="38" t="n">
        <v>0.7</v>
      </c>
      <c r="AF146" s="40" t="n">
        <f aca="false">100*('Perfil e pressupostos'!$F$14*AB146+'Perfil e pressupostos'!$F$15*AC146+'Perfil e pressupostos'!$F$16*AD146+'Perfil e pressupostos'!$F$17*AE146)/'Perfil e pressupostos'!$F$18</f>
        <v>47.75</v>
      </c>
      <c r="AG146" s="41" t="n">
        <f aca="false">INDEX('Perfil e pressupostos'!$B$25:$B$28,MATCH(V146,'Perfil e pressupostos'!$A$25:$A$28,0))</f>
        <v>0.03</v>
      </c>
      <c r="AH146" s="41" t="n">
        <f aca="false">MIN('Perfil e pressupostos'!$F$29,AG146*('Perfil e pressupostos'!$F$25+'Perfil e pressupostos'!$F$26*AF146/100)*IF(AD146&lt;='Perfil e pressupostos'!$F$28,'Perfil e pressupostos'!$F$27,1))</f>
        <v>0.02919</v>
      </c>
      <c r="AI146" s="35" t="str">
        <f aca="false">IF(AQ146=0,"—",IF(AH146&gt;='Perfil e pressupostos'!$F$30,"Boa",IF(AH146&gt;='Perfil e pressupostos'!$F$31,"Média","Baixa")))</f>
        <v>Baixa</v>
      </c>
      <c r="AJ146" s="7" t="s">
        <v>453</v>
      </c>
      <c r="AK146" s="7" t="s">
        <v>215</v>
      </c>
      <c r="AL146" s="35" t="str">
        <f aca="false">IF(AK146="Prazo expirado","Prazo passado",IF(LEFT(AK146,11)="Monitorizar","Monitorizar",IF(Y146&gt;=3.5,"Prioridade",IF(Y146&gt;=3,"Candidatar (reach)","Reserva"))))</f>
        <v>Reserva</v>
      </c>
      <c r="AM146" s="7" t="s">
        <v>548</v>
      </c>
      <c r="AN146" s="42" t="s">
        <v>884</v>
      </c>
      <c r="AO146" s="7" t="s">
        <v>187</v>
      </c>
      <c r="AP146" s="7" t="s">
        <v>218</v>
      </c>
      <c r="AQ146" s="7" t="n">
        <f aca="false">IF(OR(AK146="Prazo expirado",LEFT(AK146,11)="Monitorizar"),0,1)</f>
        <v>1</v>
      </c>
      <c r="AR146" s="41" t="n">
        <f aca="false">IF(AQ146=0,0,AH146)</f>
        <v>0.02919</v>
      </c>
      <c r="AS146" s="41" t="n">
        <f aca="false">AR146*W146/5</f>
        <v>0.020433</v>
      </c>
      <c r="AT146" s="43" t="n">
        <f aca="false">AS146+W146/1000000+(1000-ROW())/1000000000</f>
        <v>0.020437354</v>
      </c>
      <c r="AU146" s="35" t="n">
        <f aca="false">RANK(AT146,$AT$4:$AT$227)</f>
        <v>78</v>
      </c>
      <c r="AV146" s="40" t="n">
        <f aca="false">IF(AQ146=0,"",AF146)</f>
        <v>47.75</v>
      </c>
      <c r="AW146" s="41" t="n">
        <f aca="false">IF(AQ146=0,"",AH146)</f>
        <v>0.02919</v>
      </c>
    </row>
    <row r="147" customFormat="false" ht="45" hidden="false" customHeight="true" outlineLevel="0" collapsed="false">
      <c r="A147" s="35" t="n">
        <v>144</v>
      </c>
      <c r="B147" s="7" t="s">
        <v>885</v>
      </c>
      <c r="C147" s="7" t="s">
        <v>886</v>
      </c>
      <c r="D147" s="7" t="s">
        <v>627</v>
      </c>
      <c r="E147" s="7" t="s">
        <v>310</v>
      </c>
      <c r="F147" s="35" t="s">
        <v>85</v>
      </c>
      <c r="G147" s="7" t="s">
        <v>205</v>
      </c>
      <c r="H147" s="7" t="s">
        <v>172</v>
      </c>
      <c r="I147" s="7" t="s">
        <v>173</v>
      </c>
      <c r="J147" s="35" t="s">
        <v>174</v>
      </c>
      <c r="K147" s="7" t="s">
        <v>628</v>
      </c>
      <c r="L147" s="7" t="s">
        <v>629</v>
      </c>
      <c r="M147" s="7" t="s">
        <v>546</v>
      </c>
      <c r="N147" s="7" t="s">
        <v>215</v>
      </c>
      <c r="O147" s="7" t="s">
        <v>179</v>
      </c>
      <c r="P147" s="35" t="str">
        <f aca="true">IF(ISNUMBER(O147),O147-TODAY(),"")</f>
        <v/>
      </c>
      <c r="Q147" s="7" t="s">
        <v>179</v>
      </c>
      <c r="R147" s="36" t="n">
        <v>1500</v>
      </c>
      <c r="S147" s="36" t="n">
        <v>2500</v>
      </c>
      <c r="T147" s="37" t="n">
        <f aca="false">IF(R147="","",AVERAGE(R147,S147))</f>
        <v>2000</v>
      </c>
      <c r="U147" s="7" t="s">
        <v>547</v>
      </c>
      <c r="V147" s="38" t="s">
        <v>199</v>
      </c>
      <c r="W147" s="38" t="n">
        <v>3</v>
      </c>
      <c r="X147" s="38" t="n">
        <v>1.3</v>
      </c>
      <c r="Y147" s="35" t="n">
        <f aca="false">ROUND(0.6*W147+0.4*X147,1)</f>
        <v>2.3</v>
      </c>
      <c r="Z147" s="38" t="s">
        <v>213</v>
      </c>
      <c r="AA147" s="38" t="n">
        <v>0.6</v>
      </c>
      <c r="AB147" s="39" t="n">
        <f aca="false">1-AA147*(1-INDEX('Perfil e pressupostos'!$C$14:$C$20,MATCH(Z147,'Perfil e pressupostos'!$A$14:$A$20,0)))</f>
        <v>0.43</v>
      </c>
      <c r="AC147" s="38" t="n">
        <v>0.3</v>
      </c>
      <c r="AD147" s="38" t="n">
        <v>0.5</v>
      </c>
      <c r="AE147" s="38" t="n">
        <v>0.7</v>
      </c>
      <c r="AF147" s="40" t="n">
        <f aca="false">100*('Perfil e pressupostos'!$F$14*AB147+'Perfil e pressupostos'!$F$15*AC147+'Perfil e pressupostos'!$F$16*AD147+'Perfil e pressupostos'!$F$17*AE147)/'Perfil e pressupostos'!$F$18</f>
        <v>44.9</v>
      </c>
      <c r="AG147" s="41" t="n">
        <f aca="false">INDEX('Perfil e pressupostos'!$B$25:$B$28,MATCH(V147,'Perfil e pressupostos'!$A$25:$A$28,0))</f>
        <v>0.03</v>
      </c>
      <c r="AH147" s="41" t="n">
        <f aca="false">MIN('Perfil e pressupostos'!$F$29,AG147*('Perfil e pressupostos'!$F$25+'Perfil e pressupostos'!$F$26*AF147/100)*IF(AD147&lt;='Perfil e pressupostos'!$F$28,'Perfil e pressupostos'!$F$27,1))</f>
        <v>0.028164</v>
      </c>
      <c r="AI147" s="35" t="str">
        <f aca="false">IF(AQ147=0,"—",IF(AH147&gt;='Perfil e pressupostos'!$F$30,"Boa",IF(AH147&gt;='Perfil e pressupostos'!$F$31,"Média","Baixa")))</f>
        <v>Baixa</v>
      </c>
      <c r="AJ147" s="7" t="s">
        <v>214</v>
      </c>
      <c r="AK147" s="7" t="s">
        <v>215</v>
      </c>
      <c r="AL147" s="35" t="str">
        <f aca="false">IF(AK147="Prazo expirado","Prazo passado",IF(LEFT(AK147,11)="Monitorizar","Monitorizar",IF(Y147&gt;=3.5,"Prioridade",IF(Y147&gt;=3,"Candidatar (reach)","Reserva"))))</f>
        <v>Reserva</v>
      </c>
      <c r="AM147" s="7" t="s">
        <v>548</v>
      </c>
      <c r="AN147" s="42" t="s">
        <v>887</v>
      </c>
      <c r="AO147" s="7" t="s">
        <v>187</v>
      </c>
      <c r="AP147" s="7" t="s">
        <v>218</v>
      </c>
      <c r="AQ147" s="7" t="n">
        <f aca="false">IF(OR(AK147="Prazo expirado",LEFT(AK147,11)="Monitorizar"),0,1)</f>
        <v>1</v>
      </c>
      <c r="AR147" s="41" t="n">
        <f aca="false">IF(AQ147=0,0,AH147)</f>
        <v>0.028164</v>
      </c>
      <c r="AS147" s="41" t="n">
        <f aca="false">AR147*W147/5</f>
        <v>0.0168984</v>
      </c>
      <c r="AT147" s="43" t="n">
        <f aca="false">AS147+W147/1000000+(1000-ROW())/1000000000</f>
        <v>0.016902253</v>
      </c>
      <c r="AU147" s="35" t="n">
        <f aca="false">RANK(AT147,$AT$4:$AT$227)</f>
        <v>89</v>
      </c>
      <c r="AV147" s="40" t="n">
        <f aca="false">IF(AQ147=0,"",AF147)</f>
        <v>44.9</v>
      </c>
      <c r="AW147" s="41" t="n">
        <f aca="false">IF(AQ147=0,"",AH147)</f>
        <v>0.028164</v>
      </c>
    </row>
    <row r="148" customFormat="false" ht="45" hidden="false" customHeight="true" outlineLevel="0" collapsed="false">
      <c r="A148" s="35" t="n">
        <v>145</v>
      </c>
      <c r="B148" s="7" t="s">
        <v>885</v>
      </c>
      <c r="C148" s="7" t="s">
        <v>888</v>
      </c>
      <c r="D148" s="7" t="s">
        <v>764</v>
      </c>
      <c r="E148" s="7" t="s">
        <v>310</v>
      </c>
      <c r="F148" s="35" t="s">
        <v>100</v>
      </c>
      <c r="G148" s="7" t="s">
        <v>735</v>
      </c>
      <c r="H148" s="7" t="s">
        <v>172</v>
      </c>
      <c r="I148" s="7" t="s">
        <v>465</v>
      </c>
      <c r="J148" s="35" t="s">
        <v>174</v>
      </c>
      <c r="K148" s="7" t="s">
        <v>765</v>
      </c>
      <c r="L148" s="7" t="s">
        <v>766</v>
      </c>
      <c r="M148" s="7" t="s">
        <v>576</v>
      </c>
      <c r="N148" s="7" t="s">
        <v>215</v>
      </c>
      <c r="O148" s="44" t="n">
        <v>46341</v>
      </c>
      <c r="P148" s="35" t="n">
        <f aca="true">IF(ISNUMBER(O148),O148-TODAY(),"")</f>
        <v>29</v>
      </c>
      <c r="Q148" s="7" t="s">
        <v>179</v>
      </c>
      <c r="R148" s="36" t="n">
        <v>1800</v>
      </c>
      <c r="S148" s="36" t="n">
        <v>2500</v>
      </c>
      <c r="T148" s="37" t="n">
        <f aca="false">IF(R148="","",AVERAGE(R148,S148))</f>
        <v>2150</v>
      </c>
      <c r="U148" s="7" t="s">
        <v>547</v>
      </c>
      <c r="V148" s="38" t="s">
        <v>199</v>
      </c>
      <c r="W148" s="38" t="n">
        <v>2.5</v>
      </c>
      <c r="X148" s="38" t="n">
        <v>1.8</v>
      </c>
      <c r="Y148" s="35" t="n">
        <f aca="false">ROUND(0.6*W148+0.4*X148,1)</f>
        <v>2.2</v>
      </c>
      <c r="Z148" s="38" t="s">
        <v>182</v>
      </c>
      <c r="AA148" s="38" t="n">
        <v>0.7</v>
      </c>
      <c r="AB148" s="39" t="n">
        <f aca="false">1-AA148*(1-INDEX('Perfil e pressupostos'!$C$14:$C$20,MATCH(Z148,'Perfil e pressupostos'!$A$14:$A$20,0)))</f>
        <v>0.965</v>
      </c>
      <c r="AC148" s="38" t="n">
        <v>0.4</v>
      </c>
      <c r="AD148" s="38" t="n">
        <v>0.5</v>
      </c>
      <c r="AE148" s="38" t="n">
        <v>0.7</v>
      </c>
      <c r="AF148" s="40" t="n">
        <f aca="false">100*('Perfil e pressupostos'!$F$14*AB148+'Perfil e pressupostos'!$F$15*AC148+'Perfil e pressupostos'!$F$16*AD148+'Perfil e pressupostos'!$F$17*AE148)/'Perfil e pressupostos'!$F$18</f>
        <v>63.95</v>
      </c>
      <c r="AG148" s="41" t="n">
        <f aca="false">INDEX('Perfil e pressupostos'!$B$25:$B$28,MATCH(V148,'Perfil e pressupostos'!$A$25:$A$28,0))</f>
        <v>0.03</v>
      </c>
      <c r="AH148" s="41" t="n">
        <f aca="false">MIN('Perfil e pressupostos'!$F$29,AG148*('Perfil e pressupostos'!$F$25+'Perfil e pressupostos'!$F$26*AF148/100)*IF(AD148&lt;='Perfil e pressupostos'!$F$28,'Perfil e pressupostos'!$F$27,1))</f>
        <v>0.035022</v>
      </c>
      <c r="AI148" s="35" t="str">
        <f aca="false">IF(AQ148=0,"—",IF(AH148&gt;='Perfil e pressupostos'!$F$30,"Boa",IF(AH148&gt;='Perfil e pressupostos'!$F$31,"Média","Baixa")))</f>
        <v>Média</v>
      </c>
      <c r="AJ148" s="7" t="s">
        <v>825</v>
      </c>
      <c r="AK148" s="7" t="s">
        <v>306</v>
      </c>
      <c r="AL148" s="35" t="str">
        <f aca="false">IF(AK148="Prazo expirado","Prazo passado",IF(LEFT(AK148,11)="Monitorizar","Monitorizar",IF(Y148&gt;=3.5,"Prioridade",IF(Y148&gt;=3,"Candidatar (reach)","Reserva"))))</f>
        <v>Reserva</v>
      </c>
      <c r="AM148" s="7" t="s">
        <v>889</v>
      </c>
      <c r="AN148" s="42" t="s">
        <v>890</v>
      </c>
      <c r="AO148" s="7" t="s">
        <v>187</v>
      </c>
      <c r="AP148" s="7" t="s">
        <v>218</v>
      </c>
      <c r="AQ148" s="7" t="n">
        <f aca="false">IF(OR(AK148="Prazo expirado",LEFT(AK148,11)="Monitorizar"),0,1)</f>
        <v>1</v>
      </c>
      <c r="AR148" s="41" t="n">
        <f aca="false">IF(AQ148=0,0,AH148)</f>
        <v>0.035022</v>
      </c>
      <c r="AS148" s="41" t="n">
        <f aca="false">AR148*W148/5</f>
        <v>0.017511</v>
      </c>
      <c r="AT148" s="43" t="n">
        <f aca="false">AS148+W148/1000000+(1000-ROW())/1000000000</f>
        <v>0.017514352</v>
      </c>
      <c r="AU148" s="35" t="n">
        <f aca="false">RANK(AT148,$AT$4:$AT$227)</f>
        <v>87</v>
      </c>
      <c r="AV148" s="40" t="n">
        <f aca="false">IF(AQ148=0,"",AF148)</f>
        <v>63.95</v>
      </c>
      <c r="AW148" s="41" t="n">
        <f aca="false">IF(AQ148=0,"",AH148)</f>
        <v>0.035022</v>
      </c>
    </row>
    <row r="149" customFormat="false" ht="33.75" hidden="false" customHeight="true" outlineLevel="0" collapsed="false">
      <c r="A149" s="35" t="n">
        <v>146</v>
      </c>
      <c r="B149" s="7" t="s">
        <v>891</v>
      </c>
      <c r="C149" s="7" t="s">
        <v>892</v>
      </c>
      <c r="D149" s="7" t="s">
        <v>191</v>
      </c>
      <c r="E149" s="7" t="s">
        <v>310</v>
      </c>
      <c r="F149" s="35" t="s">
        <v>85</v>
      </c>
      <c r="G149" s="7" t="s">
        <v>205</v>
      </c>
      <c r="H149" s="7" t="s">
        <v>172</v>
      </c>
      <c r="I149" s="7" t="s">
        <v>215</v>
      </c>
      <c r="J149" s="35" t="s">
        <v>207</v>
      </c>
      <c r="K149" s="7" t="s">
        <v>612</v>
      </c>
      <c r="L149" s="7" t="s">
        <v>613</v>
      </c>
      <c r="M149" s="7" t="s">
        <v>546</v>
      </c>
      <c r="N149" s="7" t="s">
        <v>215</v>
      </c>
      <c r="O149" s="7" t="s">
        <v>179</v>
      </c>
      <c r="P149" s="35" t="str">
        <f aca="true">IF(ISNUMBER(O149),O149-TODAY(),"")</f>
        <v/>
      </c>
      <c r="Q149" s="7" t="s">
        <v>179</v>
      </c>
      <c r="R149" s="36" t="n">
        <v>1500</v>
      </c>
      <c r="S149" s="36" t="n">
        <v>2500</v>
      </c>
      <c r="T149" s="37" t="n">
        <f aca="false">IF(R149="","",AVERAGE(R149,S149))</f>
        <v>2000</v>
      </c>
      <c r="U149" s="7" t="s">
        <v>547</v>
      </c>
      <c r="V149" s="38" t="s">
        <v>199</v>
      </c>
      <c r="W149" s="38" t="n">
        <v>4</v>
      </c>
      <c r="X149" s="38" t="n">
        <v>1.2</v>
      </c>
      <c r="Y149" s="35" t="n">
        <f aca="false">ROUND(0.6*W149+0.4*X149,1)</f>
        <v>2.9</v>
      </c>
      <c r="Z149" s="38" t="s">
        <v>213</v>
      </c>
      <c r="AA149" s="38" t="n">
        <v>0.7</v>
      </c>
      <c r="AB149" s="39" t="n">
        <f aca="false">1-AA149*(1-INDEX('Perfil e pressupostos'!$C$14:$C$20,MATCH(Z149,'Perfil e pressupostos'!$A$14:$A$20,0)))</f>
        <v>0.335</v>
      </c>
      <c r="AC149" s="38" t="n">
        <v>0.3</v>
      </c>
      <c r="AD149" s="38" t="n">
        <v>0.5</v>
      </c>
      <c r="AE149" s="38" t="n">
        <v>0.7</v>
      </c>
      <c r="AF149" s="40" t="n">
        <f aca="false">100*('Perfil e pressupostos'!$F$14*AB149+'Perfil e pressupostos'!$F$15*AC149+'Perfil e pressupostos'!$F$16*AD149+'Perfil e pressupostos'!$F$17*AE149)/'Perfil e pressupostos'!$F$18</f>
        <v>42.05</v>
      </c>
      <c r="AG149" s="41" t="n">
        <f aca="false">INDEX('Perfil e pressupostos'!$B$25:$B$28,MATCH(V149,'Perfil e pressupostos'!$A$25:$A$28,0))</f>
        <v>0.03</v>
      </c>
      <c r="AH149" s="41" t="n">
        <f aca="false">MIN('Perfil e pressupostos'!$F$29,AG149*('Perfil e pressupostos'!$F$25+'Perfil e pressupostos'!$F$26*AF149/100)*IF(AD149&lt;='Perfil e pressupostos'!$F$28,'Perfil e pressupostos'!$F$27,1))</f>
        <v>0.027138</v>
      </c>
      <c r="AI149" s="35" t="str">
        <f aca="false">IF(AQ149=0,"—",IF(AH149&gt;='Perfil e pressupostos'!$F$30,"Boa",IF(AH149&gt;='Perfil e pressupostos'!$F$31,"Média","Baixa")))</f>
        <v>Baixa</v>
      </c>
      <c r="AJ149" s="7" t="s">
        <v>645</v>
      </c>
      <c r="AK149" s="7" t="s">
        <v>215</v>
      </c>
      <c r="AL149" s="35" t="str">
        <f aca="false">IF(AK149="Prazo expirado","Prazo passado",IF(LEFT(AK149,11)="Monitorizar","Monitorizar",IF(Y149&gt;=3.5,"Prioridade",IF(Y149&gt;=3,"Candidatar (reach)","Reserva"))))</f>
        <v>Reserva</v>
      </c>
      <c r="AM149" s="7" t="s">
        <v>893</v>
      </c>
      <c r="AN149" s="42" t="s">
        <v>894</v>
      </c>
      <c r="AO149" s="7" t="s">
        <v>295</v>
      </c>
      <c r="AP149" s="7" t="s">
        <v>218</v>
      </c>
      <c r="AQ149" s="7" t="n">
        <f aca="false">IF(OR(AK149="Prazo expirado",LEFT(AK149,11)="Monitorizar"),0,1)</f>
        <v>1</v>
      </c>
      <c r="AR149" s="41" t="n">
        <f aca="false">IF(AQ149=0,0,AH149)</f>
        <v>0.027138</v>
      </c>
      <c r="AS149" s="41" t="n">
        <f aca="false">AR149*W149/5</f>
        <v>0.0217104</v>
      </c>
      <c r="AT149" s="43" t="n">
        <f aca="false">AS149+W149/1000000+(1000-ROW())/1000000000</f>
        <v>0.021715251</v>
      </c>
      <c r="AU149" s="35" t="n">
        <f aca="false">RANK(AT149,$AT$4:$AT$227)</f>
        <v>73</v>
      </c>
      <c r="AV149" s="40" t="n">
        <f aca="false">IF(AQ149=0,"",AF149)</f>
        <v>42.05</v>
      </c>
      <c r="AW149" s="41" t="n">
        <f aca="false">IF(AQ149=0,"",AH149)</f>
        <v>0.027138</v>
      </c>
    </row>
    <row r="150" customFormat="false" ht="33.75" hidden="false" customHeight="true" outlineLevel="0" collapsed="false">
      <c r="A150" s="35" t="n">
        <v>147</v>
      </c>
      <c r="B150" s="7" t="s">
        <v>895</v>
      </c>
      <c r="C150" s="7" t="s">
        <v>896</v>
      </c>
      <c r="D150" s="7" t="s">
        <v>897</v>
      </c>
      <c r="E150" s="7" t="s">
        <v>325</v>
      </c>
      <c r="F150" s="35" t="s">
        <v>85</v>
      </c>
      <c r="G150" s="7" t="s">
        <v>205</v>
      </c>
      <c r="H150" s="7" t="s">
        <v>172</v>
      </c>
      <c r="I150" s="7" t="s">
        <v>173</v>
      </c>
      <c r="J150" s="35" t="s">
        <v>207</v>
      </c>
      <c r="K150" s="7" t="s">
        <v>583</v>
      </c>
      <c r="L150" s="7" t="s">
        <v>584</v>
      </c>
      <c r="M150" s="7" t="s">
        <v>546</v>
      </c>
      <c r="N150" s="7" t="s">
        <v>215</v>
      </c>
      <c r="O150" s="7" t="s">
        <v>179</v>
      </c>
      <c r="P150" s="35" t="str">
        <f aca="true">IF(ISNUMBER(O150),O150-TODAY(),"")</f>
        <v/>
      </c>
      <c r="Q150" s="7" t="s">
        <v>179</v>
      </c>
      <c r="R150" s="36" t="n">
        <v>1500</v>
      </c>
      <c r="S150" s="36" t="n">
        <v>2500</v>
      </c>
      <c r="T150" s="37" t="n">
        <f aca="false">IF(R150="","",AVERAGE(R150,S150))</f>
        <v>2000</v>
      </c>
      <c r="U150" s="7" t="s">
        <v>547</v>
      </c>
      <c r="V150" s="38" t="s">
        <v>199</v>
      </c>
      <c r="W150" s="38" t="n">
        <v>3</v>
      </c>
      <c r="X150" s="38" t="n">
        <v>1.3</v>
      </c>
      <c r="Y150" s="35" t="n">
        <f aca="false">ROUND(0.6*W150+0.4*X150,1)</f>
        <v>2.3</v>
      </c>
      <c r="Z150" s="38" t="s">
        <v>213</v>
      </c>
      <c r="AA150" s="38" t="n">
        <v>0.8</v>
      </c>
      <c r="AB150" s="39" t="n">
        <f aca="false">1-AA150*(1-INDEX('Perfil e pressupostos'!$C$14:$C$20,MATCH(Z150,'Perfil e pressupostos'!$A$14:$A$20,0)))</f>
        <v>0.24</v>
      </c>
      <c r="AC150" s="38" t="n">
        <v>0.5</v>
      </c>
      <c r="AD150" s="38" t="n">
        <v>0.4</v>
      </c>
      <c r="AE150" s="38" t="n">
        <v>0.8</v>
      </c>
      <c r="AF150" s="40" t="n">
        <f aca="false">100*('Perfil e pressupostos'!$F$14*AB150+'Perfil e pressupostos'!$F$15*AC150+'Perfil e pressupostos'!$F$16*AD150+'Perfil e pressupostos'!$F$17*AE150)/'Perfil e pressupostos'!$F$18</f>
        <v>44.2</v>
      </c>
      <c r="AG150" s="41" t="n">
        <f aca="false">INDEX('Perfil e pressupostos'!$B$25:$B$28,MATCH(V150,'Perfil e pressupostos'!$A$25:$A$28,0))</f>
        <v>0.03</v>
      </c>
      <c r="AH150" s="41" t="n">
        <f aca="false">MIN('Perfil e pressupostos'!$F$29,AG150*('Perfil e pressupostos'!$F$25+'Perfil e pressupostos'!$F$26*AF150/100)*IF(AD150&lt;='Perfil e pressupostos'!$F$28,'Perfil e pressupostos'!$F$27,1))</f>
        <v>0.027912</v>
      </c>
      <c r="AI150" s="35" t="str">
        <f aca="false">IF(AQ150=0,"—",IF(AH150&gt;='Perfil e pressupostos'!$F$30,"Boa",IF(AH150&gt;='Perfil e pressupostos'!$F$31,"Média","Baixa")))</f>
        <v>Baixa</v>
      </c>
      <c r="AJ150" s="7" t="s">
        <v>368</v>
      </c>
      <c r="AK150" s="7" t="s">
        <v>215</v>
      </c>
      <c r="AL150" s="35" t="str">
        <f aca="false">IF(AK150="Prazo expirado","Prazo passado",IF(LEFT(AK150,11)="Monitorizar","Monitorizar",IF(Y150&gt;=3.5,"Prioridade",IF(Y150&gt;=3,"Candidatar (reach)","Reserva"))))</f>
        <v>Reserva</v>
      </c>
      <c r="AM150" s="7" t="s">
        <v>548</v>
      </c>
      <c r="AN150" s="42" t="s">
        <v>898</v>
      </c>
      <c r="AO150" s="7" t="s">
        <v>361</v>
      </c>
      <c r="AP150" s="7" t="s">
        <v>218</v>
      </c>
      <c r="AQ150" s="7" t="n">
        <f aca="false">IF(OR(AK150="Prazo expirado",LEFT(AK150,11)="Monitorizar"),0,1)</f>
        <v>1</v>
      </c>
      <c r="AR150" s="41" t="n">
        <f aca="false">IF(AQ150=0,0,AH150)</f>
        <v>0.027912</v>
      </c>
      <c r="AS150" s="41" t="n">
        <f aca="false">AR150*W150/5</f>
        <v>0.0167472</v>
      </c>
      <c r="AT150" s="43" t="n">
        <f aca="false">AS150+W150/1000000+(1000-ROW())/1000000000</f>
        <v>0.01675105</v>
      </c>
      <c r="AU150" s="35" t="n">
        <f aca="false">RANK(AT150,$AT$4:$AT$227)</f>
        <v>90</v>
      </c>
      <c r="AV150" s="40" t="n">
        <f aca="false">IF(AQ150=0,"",AF150)</f>
        <v>44.2</v>
      </c>
      <c r="AW150" s="41" t="n">
        <f aca="false">IF(AQ150=0,"",AH150)</f>
        <v>0.027912</v>
      </c>
    </row>
    <row r="151" customFormat="false" ht="45" hidden="false" customHeight="true" outlineLevel="0" collapsed="false">
      <c r="A151" s="35" t="n">
        <v>148</v>
      </c>
      <c r="B151" s="7" t="s">
        <v>899</v>
      </c>
      <c r="C151" s="7" t="s">
        <v>900</v>
      </c>
      <c r="D151" s="7" t="s">
        <v>764</v>
      </c>
      <c r="E151" s="7" t="s">
        <v>310</v>
      </c>
      <c r="F151" s="35" t="s">
        <v>100</v>
      </c>
      <c r="G151" s="7" t="s">
        <v>735</v>
      </c>
      <c r="H151" s="7" t="s">
        <v>172</v>
      </c>
      <c r="I151" s="7" t="s">
        <v>284</v>
      </c>
      <c r="J151" s="35" t="s">
        <v>233</v>
      </c>
      <c r="K151" s="7" t="s">
        <v>765</v>
      </c>
      <c r="L151" s="7" t="s">
        <v>766</v>
      </c>
      <c r="M151" s="7" t="s">
        <v>576</v>
      </c>
      <c r="N151" s="7" t="s">
        <v>215</v>
      </c>
      <c r="O151" s="7" t="s">
        <v>179</v>
      </c>
      <c r="P151" s="35" t="str">
        <f aca="true">IF(ISNUMBER(O151),O151-TODAY(),"")</f>
        <v/>
      </c>
      <c r="Q151" s="7" t="s">
        <v>179</v>
      </c>
      <c r="R151" s="36" t="n">
        <v>1800</v>
      </c>
      <c r="S151" s="36" t="n">
        <v>2500</v>
      </c>
      <c r="T151" s="37" t="n">
        <f aca="false">IF(R151="","",AVERAGE(R151,S151))</f>
        <v>2150</v>
      </c>
      <c r="U151" s="7" t="s">
        <v>547</v>
      </c>
      <c r="V151" s="38" t="s">
        <v>199</v>
      </c>
      <c r="W151" s="38" t="n">
        <v>3</v>
      </c>
      <c r="X151" s="38" t="n">
        <v>1.7</v>
      </c>
      <c r="Y151" s="35" t="n">
        <f aca="false">ROUND(0.6*W151+0.4*X151,1)</f>
        <v>2.5</v>
      </c>
      <c r="Z151" s="38" t="s">
        <v>182</v>
      </c>
      <c r="AA151" s="38" t="n">
        <v>0.5</v>
      </c>
      <c r="AB151" s="39" t="n">
        <f aca="false">1-AA151*(1-INDEX('Perfil e pressupostos'!$C$14:$C$20,MATCH(Z151,'Perfil e pressupostos'!$A$14:$A$20,0)))</f>
        <v>0.975</v>
      </c>
      <c r="AC151" s="38" t="n">
        <v>0.3</v>
      </c>
      <c r="AD151" s="38" t="n">
        <v>0.5</v>
      </c>
      <c r="AE151" s="38" t="n">
        <v>0.7</v>
      </c>
      <c r="AF151" s="40" t="n">
        <f aca="false">100*('Perfil e pressupostos'!$F$14*AB151+'Perfil e pressupostos'!$F$15*AC151+'Perfil e pressupostos'!$F$16*AD151+'Perfil e pressupostos'!$F$17*AE151)/'Perfil e pressupostos'!$F$18</f>
        <v>61.25</v>
      </c>
      <c r="AG151" s="41" t="n">
        <f aca="false">INDEX('Perfil e pressupostos'!$B$25:$B$28,MATCH(V151,'Perfil e pressupostos'!$A$25:$A$28,0))</f>
        <v>0.03</v>
      </c>
      <c r="AH151" s="41" t="n">
        <f aca="false">MIN('Perfil e pressupostos'!$F$29,AG151*('Perfil e pressupostos'!$F$25+'Perfil e pressupostos'!$F$26*AF151/100)*IF(AD151&lt;='Perfil e pressupostos'!$F$28,'Perfil e pressupostos'!$F$27,1))</f>
        <v>0.03405</v>
      </c>
      <c r="AI151" s="35" t="str">
        <f aca="false">IF(AQ151=0,"—",IF(AH151&gt;='Perfil e pressupostos'!$F$30,"Boa",IF(AH151&gt;='Perfil e pressupostos'!$F$31,"Média","Baixa")))</f>
        <v>Média</v>
      </c>
      <c r="AJ151" s="7" t="s">
        <v>636</v>
      </c>
      <c r="AK151" s="7" t="s">
        <v>215</v>
      </c>
      <c r="AL151" s="35" t="str">
        <f aca="false">IF(AK151="Prazo expirado","Prazo passado",IF(LEFT(AK151,11)="Monitorizar","Monitorizar",IF(Y151&gt;=3.5,"Prioridade",IF(Y151&gt;=3,"Candidatar (reach)","Reserva"))))</f>
        <v>Reserva</v>
      </c>
      <c r="AM151" s="7" t="s">
        <v>548</v>
      </c>
      <c r="AN151" s="42" t="s">
        <v>901</v>
      </c>
      <c r="AO151" s="7" t="s">
        <v>187</v>
      </c>
      <c r="AP151" s="7" t="s">
        <v>218</v>
      </c>
      <c r="AQ151" s="7" t="n">
        <f aca="false">IF(OR(AK151="Prazo expirado",LEFT(AK151,11)="Monitorizar"),0,1)</f>
        <v>1</v>
      </c>
      <c r="AR151" s="41" t="n">
        <f aca="false">IF(AQ151=0,0,AH151)</f>
        <v>0.03405</v>
      </c>
      <c r="AS151" s="41" t="n">
        <f aca="false">AR151*W151/5</f>
        <v>0.02043</v>
      </c>
      <c r="AT151" s="43" t="n">
        <f aca="false">AS151+W151/1000000+(1000-ROW())/1000000000</f>
        <v>0.020433849</v>
      </c>
      <c r="AU151" s="35" t="n">
        <f aca="false">RANK(AT151,$AT$4:$AT$227)</f>
        <v>79</v>
      </c>
      <c r="AV151" s="40" t="n">
        <f aca="false">IF(AQ151=0,"",AF151)</f>
        <v>61.25</v>
      </c>
      <c r="AW151" s="41" t="n">
        <f aca="false">IF(AQ151=0,"",AH151)</f>
        <v>0.03405</v>
      </c>
    </row>
    <row r="152" customFormat="false" ht="45" hidden="false" customHeight="true" outlineLevel="0" collapsed="false">
      <c r="A152" s="35" t="n">
        <v>149</v>
      </c>
      <c r="B152" s="7" t="s">
        <v>899</v>
      </c>
      <c r="C152" s="7" t="s">
        <v>902</v>
      </c>
      <c r="D152" s="7" t="s">
        <v>191</v>
      </c>
      <c r="E152" s="7" t="s">
        <v>310</v>
      </c>
      <c r="F152" s="35" t="s">
        <v>95</v>
      </c>
      <c r="G152" s="7" t="s">
        <v>575</v>
      </c>
      <c r="H152" s="7" t="s">
        <v>172</v>
      </c>
      <c r="I152" s="7" t="s">
        <v>173</v>
      </c>
      <c r="J152" s="35" t="s">
        <v>207</v>
      </c>
      <c r="K152" s="7" t="s">
        <v>612</v>
      </c>
      <c r="L152" s="7" t="s">
        <v>613</v>
      </c>
      <c r="M152" s="7" t="s">
        <v>576</v>
      </c>
      <c r="N152" s="7" t="s">
        <v>215</v>
      </c>
      <c r="O152" s="44" t="n">
        <v>46332</v>
      </c>
      <c r="P152" s="35" t="n">
        <f aca="true">IF(ISNUMBER(O152),O152-TODAY(),"")</f>
        <v>20</v>
      </c>
      <c r="Q152" s="7" t="s">
        <v>179</v>
      </c>
      <c r="R152" s="36" t="n">
        <v>3000</v>
      </c>
      <c r="S152" s="36" t="n">
        <v>4500</v>
      </c>
      <c r="T152" s="37" t="n">
        <f aca="false">IF(R152="","",AVERAGE(R152,S152))</f>
        <v>3750</v>
      </c>
      <c r="U152" s="7" t="s">
        <v>547</v>
      </c>
      <c r="V152" s="38" t="s">
        <v>181</v>
      </c>
      <c r="W152" s="38" t="n">
        <v>4</v>
      </c>
      <c r="X152" s="38" t="n">
        <v>1.5</v>
      </c>
      <c r="Y152" s="35" t="n">
        <f aca="false">ROUND(0.6*W152+0.4*X152,1)</f>
        <v>3</v>
      </c>
      <c r="Z152" s="38" t="s">
        <v>182</v>
      </c>
      <c r="AA152" s="38" t="n">
        <v>0.6</v>
      </c>
      <c r="AB152" s="39" t="n">
        <f aca="false">1-AA152*(1-INDEX('Perfil e pressupostos'!$C$14:$C$20,MATCH(Z152,'Perfil e pressupostos'!$A$14:$A$20,0)))</f>
        <v>0.97</v>
      </c>
      <c r="AC152" s="38" t="n">
        <v>0.3</v>
      </c>
      <c r="AD152" s="38" t="n">
        <v>0.5</v>
      </c>
      <c r="AE152" s="38" t="n">
        <v>0.7</v>
      </c>
      <c r="AF152" s="40" t="n">
        <f aca="false">100*('Perfil e pressupostos'!$F$14*AB152+'Perfil e pressupostos'!$F$15*AC152+'Perfil e pressupostos'!$F$16*AD152+'Perfil e pressupostos'!$F$17*AE152)/'Perfil e pressupostos'!$F$18</f>
        <v>61.1</v>
      </c>
      <c r="AG152" s="41" t="n">
        <f aca="false">INDEX('Perfil e pressupostos'!$B$25:$B$28,MATCH(V152,'Perfil e pressupostos'!$A$25:$A$28,0))</f>
        <v>0.01</v>
      </c>
      <c r="AH152" s="41" t="n">
        <f aca="false">MIN('Perfil e pressupostos'!$F$29,AG152*('Perfil e pressupostos'!$F$25+'Perfil e pressupostos'!$F$26*AF152/100)*IF(AD152&lt;='Perfil e pressupostos'!$F$28,'Perfil e pressupostos'!$F$27,1))</f>
        <v>0.011332</v>
      </c>
      <c r="AI152" s="35" t="str">
        <f aca="false">IF(AQ152=0,"—",IF(AH152&gt;='Perfil e pressupostos'!$F$30,"Boa",IF(AH152&gt;='Perfil e pressupostos'!$F$31,"Média","Baixa")))</f>
        <v>Baixa</v>
      </c>
      <c r="AJ152" s="7" t="s">
        <v>671</v>
      </c>
      <c r="AK152" s="7" t="s">
        <v>306</v>
      </c>
      <c r="AL152" s="35" t="str">
        <f aca="false">IF(AK152="Prazo expirado","Prazo passado",IF(LEFT(AK152,11)="Monitorizar","Monitorizar",IF(Y152&gt;=3.5,"Prioridade",IF(Y152&gt;=3,"Candidatar (reach)","Reserva"))))</f>
        <v>Candidatar (reach)</v>
      </c>
      <c r="AM152" s="7" t="s">
        <v>548</v>
      </c>
      <c r="AN152" s="42" t="s">
        <v>903</v>
      </c>
      <c r="AO152" s="7" t="s">
        <v>187</v>
      </c>
      <c r="AP152" s="7" t="s">
        <v>218</v>
      </c>
      <c r="AQ152" s="7" t="n">
        <f aca="false">IF(OR(AK152="Prazo expirado",LEFT(AK152,11)="Monitorizar"),0,1)</f>
        <v>1</v>
      </c>
      <c r="AR152" s="41" t="n">
        <f aca="false">IF(AQ152=0,0,AH152)</f>
        <v>0.011332</v>
      </c>
      <c r="AS152" s="41" t="n">
        <f aca="false">AR152*W152/5</f>
        <v>0.0090656</v>
      </c>
      <c r="AT152" s="43" t="n">
        <f aca="false">AS152+W152/1000000+(1000-ROW())/1000000000</f>
        <v>0.009070448</v>
      </c>
      <c r="AU152" s="35" t="n">
        <f aca="false">RANK(AT152,$AT$4:$AT$227)</f>
        <v>124</v>
      </c>
      <c r="AV152" s="40" t="n">
        <f aca="false">IF(AQ152=0,"",AF152)</f>
        <v>61.1</v>
      </c>
      <c r="AW152" s="41" t="n">
        <f aca="false">IF(AQ152=0,"",AH152)</f>
        <v>0.011332</v>
      </c>
    </row>
    <row r="153" customFormat="false" ht="45" hidden="false" customHeight="true" outlineLevel="0" collapsed="false">
      <c r="A153" s="35" t="n">
        <v>150</v>
      </c>
      <c r="B153" s="7" t="s">
        <v>430</v>
      </c>
      <c r="C153" s="7" t="s">
        <v>904</v>
      </c>
      <c r="D153" s="7" t="s">
        <v>191</v>
      </c>
      <c r="E153" s="7" t="s">
        <v>170</v>
      </c>
      <c r="F153" s="35" t="s">
        <v>95</v>
      </c>
      <c r="G153" s="7" t="s">
        <v>575</v>
      </c>
      <c r="H153" s="7" t="s">
        <v>172</v>
      </c>
      <c r="I153" s="7" t="s">
        <v>376</v>
      </c>
      <c r="J153" s="35" t="s">
        <v>207</v>
      </c>
      <c r="K153" s="7" t="s">
        <v>612</v>
      </c>
      <c r="L153" s="7" t="s">
        <v>613</v>
      </c>
      <c r="M153" s="7" t="s">
        <v>576</v>
      </c>
      <c r="N153" s="7" t="s">
        <v>215</v>
      </c>
      <c r="O153" s="7" t="s">
        <v>179</v>
      </c>
      <c r="P153" s="35" t="str">
        <f aca="true">IF(ISNUMBER(O153),O153-TODAY(),"")</f>
        <v/>
      </c>
      <c r="Q153" s="7" t="s">
        <v>179</v>
      </c>
      <c r="R153" s="36" t="n">
        <v>3000</v>
      </c>
      <c r="S153" s="36" t="n">
        <v>4500</v>
      </c>
      <c r="T153" s="37" t="n">
        <f aca="false">IF(R153="","",AVERAGE(R153,S153))</f>
        <v>3750</v>
      </c>
      <c r="U153" s="7" t="s">
        <v>547</v>
      </c>
      <c r="V153" s="38" t="s">
        <v>181</v>
      </c>
      <c r="W153" s="38" t="n">
        <v>4</v>
      </c>
      <c r="X153" s="38" t="n">
        <v>1.3</v>
      </c>
      <c r="Y153" s="35" t="n">
        <f aca="false">ROUND(0.6*W153+0.4*X153,1)</f>
        <v>2.9</v>
      </c>
      <c r="Z153" s="38" t="s">
        <v>304</v>
      </c>
      <c r="AA153" s="38" t="n">
        <v>0.4</v>
      </c>
      <c r="AB153" s="39" t="n">
        <f aca="false">1-AA153*(1-INDEX('Perfil e pressupostos'!$C$14:$C$20,MATCH(Z153,'Perfil e pressupostos'!$A$14:$A$20,0)))</f>
        <v>0.62</v>
      </c>
      <c r="AC153" s="38" t="n">
        <v>0.3</v>
      </c>
      <c r="AD153" s="38" t="n">
        <v>0.5</v>
      </c>
      <c r="AE153" s="38" t="n">
        <v>0.7</v>
      </c>
      <c r="AF153" s="40" t="n">
        <f aca="false">100*('Perfil e pressupostos'!$F$14*AB153+'Perfil e pressupostos'!$F$15*AC153+'Perfil e pressupostos'!$F$16*AD153+'Perfil e pressupostos'!$F$17*AE153)/'Perfil e pressupostos'!$F$18</f>
        <v>50.6</v>
      </c>
      <c r="AG153" s="41" t="n">
        <f aca="false">INDEX('Perfil e pressupostos'!$B$25:$B$28,MATCH(V153,'Perfil e pressupostos'!$A$25:$A$28,0))</f>
        <v>0.01</v>
      </c>
      <c r="AH153" s="41" t="n">
        <f aca="false">MIN('Perfil e pressupostos'!$F$29,AG153*('Perfil e pressupostos'!$F$25+'Perfil e pressupostos'!$F$26*AF153/100)*IF(AD153&lt;='Perfil e pressupostos'!$F$28,'Perfil e pressupostos'!$F$27,1))</f>
        <v>0.010072</v>
      </c>
      <c r="AI153" s="35" t="str">
        <f aca="false">IF(AQ153=0,"—",IF(AH153&gt;='Perfil e pressupostos'!$F$30,"Boa",IF(AH153&gt;='Perfil e pressupostos'!$F$31,"Média","Baixa")))</f>
        <v>Baixa</v>
      </c>
      <c r="AJ153" s="7" t="s">
        <v>596</v>
      </c>
      <c r="AK153" s="7" t="s">
        <v>215</v>
      </c>
      <c r="AL153" s="35" t="str">
        <f aca="false">IF(AK153="Prazo expirado","Prazo passado",IF(LEFT(AK153,11)="Monitorizar","Monitorizar",IF(Y153&gt;=3.5,"Prioridade",IF(Y153&gt;=3,"Candidatar (reach)","Reserva"))))</f>
        <v>Reserva</v>
      </c>
      <c r="AM153" s="7" t="s">
        <v>548</v>
      </c>
      <c r="AN153" s="42" t="s">
        <v>905</v>
      </c>
      <c r="AO153" s="7" t="s">
        <v>187</v>
      </c>
      <c r="AP153" s="7" t="s">
        <v>218</v>
      </c>
      <c r="AQ153" s="7" t="n">
        <f aca="false">IF(OR(AK153="Prazo expirado",LEFT(AK153,11)="Monitorizar"),0,1)</f>
        <v>1</v>
      </c>
      <c r="AR153" s="41" t="n">
        <f aca="false">IF(AQ153=0,0,AH153)</f>
        <v>0.010072</v>
      </c>
      <c r="AS153" s="41" t="n">
        <f aca="false">AR153*W153/5</f>
        <v>0.0080576</v>
      </c>
      <c r="AT153" s="43" t="n">
        <f aca="false">AS153+W153/1000000+(1000-ROW())/1000000000</f>
        <v>0.008062447</v>
      </c>
      <c r="AU153" s="35" t="n">
        <f aca="false">RANK(AT153,$AT$4:$AT$227)</f>
        <v>147</v>
      </c>
      <c r="AV153" s="40" t="n">
        <f aca="false">IF(AQ153=0,"",AF153)</f>
        <v>50.6</v>
      </c>
      <c r="AW153" s="41" t="n">
        <f aca="false">IF(AQ153=0,"",AH153)</f>
        <v>0.010072</v>
      </c>
    </row>
    <row r="154" customFormat="false" ht="57" hidden="false" customHeight="true" outlineLevel="0" collapsed="false">
      <c r="A154" s="35" t="n">
        <v>151</v>
      </c>
      <c r="B154" s="7" t="s">
        <v>430</v>
      </c>
      <c r="C154" s="7" t="s">
        <v>906</v>
      </c>
      <c r="D154" s="7" t="s">
        <v>191</v>
      </c>
      <c r="E154" s="7" t="s">
        <v>170</v>
      </c>
      <c r="F154" s="35" t="s">
        <v>97</v>
      </c>
      <c r="G154" s="7" t="s">
        <v>589</v>
      </c>
      <c r="H154" s="7" t="s">
        <v>172</v>
      </c>
      <c r="I154" s="7" t="s">
        <v>443</v>
      </c>
      <c r="J154" s="35" t="s">
        <v>207</v>
      </c>
      <c r="K154" s="7" t="s">
        <v>612</v>
      </c>
      <c r="L154" s="7" t="s">
        <v>613</v>
      </c>
      <c r="M154" s="7" t="s">
        <v>590</v>
      </c>
      <c r="N154" s="7" t="s">
        <v>215</v>
      </c>
      <c r="O154" s="7" t="s">
        <v>179</v>
      </c>
      <c r="P154" s="35" t="str">
        <f aca="true">IF(ISNUMBER(O154),O154-TODAY(),"")</f>
        <v/>
      </c>
      <c r="Q154" s="7" t="s">
        <v>179</v>
      </c>
      <c r="R154" s="36" t="n">
        <v>800</v>
      </c>
      <c r="S154" s="36" t="n">
        <v>1500</v>
      </c>
      <c r="T154" s="37" t="n">
        <f aca="false">IF(R154="","",AVERAGE(R154,S154))</f>
        <v>1150</v>
      </c>
      <c r="U154" s="7" t="s">
        <v>547</v>
      </c>
      <c r="V154" s="38" t="s">
        <v>181</v>
      </c>
      <c r="W154" s="38" t="n">
        <v>4</v>
      </c>
      <c r="X154" s="38" t="n">
        <v>1.3</v>
      </c>
      <c r="Y154" s="35" t="n">
        <f aca="false">ROUND(0.6*W154+0.4*X154,1)</f>
        <v>2.9</v>
      </c>
      <c r="Z154" s="38" t="s">
        <v>591</v>
      </c>
      <c r="AA154" s="38" t="n">
        <v>0.6</v>
      </c>
      <c r="AB154" s="39" t="n">
        <f aca="false">1-AA154*(1-INDEX('Perfil e pressupostos'!$C$14:$C$20,MATCH(Z154,'Perfil e pressupostos'!$A$14:$A$20,0)))</f>
        <v>0.58</v>
      </c>
      <c r="AC154" s="38" t="n">
        <v>0.3</v>
      </c>
      <c r="AD154" s="38" t="n">
        <v>0.5</v>
      </c>
      <c r="AE154" s="38" t="n">
        <v>0.7</v>
      </c>
      <c r="AF154" s="40" t="n">
        <f aca="false">100*('Perfil e pressupostos'!$F$14*AB154+'Perfil e pressupostos'!$F$15*AC154+'Perfil e pressupostos'!$F$16*AD154+'Perfil e pressupostos'!$F$17*AE154)/'Perfil e pressupostos'!$F$18</f>
        <v>49.4</v>
      </c>
      <c r="AG154" s="41" t="n">
        <f aca="false">INDEX('Perfil e pressupostos'!$B$25:$B$28,MATCH(V154,'Perfil e pressupostos'!$A$25:$A$28,0))</f>
        <v>0.01</v>
      </c>
      <c r="AH154" s="41" t="n">
        <f aca="false">MIN('Perfil e pressupostos'!$F$29,AG154*('Perfil e pressupostos'!$F$25+'Perfil e pressupostos'!$F$26*AF154/100)*IF(AD154&lt;='Perfil e pressupostos'!$F$28,'Perfil e pressupostos'!$F$27,1))</f>
        <v>0.009928</v>
      </c>
      <c r="AI154" s="35" t="str">
        <f aca="false">IF(AQ154=0,"—",IF(AH154&gt;='Perfil e pressupostos'!$F$30,"Boa",IF(AH154&gt;='Perfil e pressupostos'!$F$31,"Média","Baixa")))</f>
        <v>Baixa</v>
      </c>
      <c r="AJ154" s="7" t="s">
        <v>727</v>
      </c>
      <c r="AK154" s="7" t="s">
        <v>215</v>
      </c>
      <c r="AL154" s="35" t="str">
        <f aca="false">IF(AK154="Prazo expirado","Prazo passado",IF(LEFT(AK154,11)="Monitorizar","Monitorizar",IF(Y154&gt;=3.5,"Prioridade",IF(Y154&gt;=3,"Candidatar (reach)","Reserva"))))</f>
        <v>Reserva</v>
      </c>
      <c r="AM154" s="7" t="s">
        <v>548</v>
      </c>
      <c r="AN154" s="42" t="s">
        <v>907</v>
      </c>
      <c r="AO154" s="7" t="s">
        <v>187</v>
      </c>
      <c r="AP154" s="7" t="s">
        <v>218</v>
      </c>
      <c r="AQ154" s="7" t="n">
        <f aca="false">IF(OR(AK154="Prazo expirado",LEFT(AK154,11)="Monitorizar"),0,1)</f>
        <v>1</v>
      </c>
      <c r="AR154" s="41" t="n">
        <f aca="false">IF(AQ154=0,0,AH154)</f>
        <v>0.009928</v>
      </c>
      <c r="AS154" s="41" t="n">
        <f aca="false">AR154*W154/5</f>
        <v>0.0079424</v>
      </c>
      <c r="AT154" s="43" t="n">
        <f aca="false">AS154+W154/1000000+(1000-ROW())/1000000000</f>
        <v>0.007947246</v>
      </c>
      <c r="AU154" s="35" t="n">
        <f aca="false">RANK(AT154,$AT$4:$AT$227)</f>
        <v>151</v>
      </c>
      <c r="AV154" s="40" t="n">
        <f aca="false">IF(AQ154=0,"",AF154)</f>
        <v>49.4</v>
      </c>
      <c r="AW154" s="41" t="n">
        <f aca="false">IF(AQ154=0,"",AH154)</f>
        <v>0.009928</v>
      </c>
    </row>
    <row r="155" customFormat="false" ht="45" hidden="false" customHeight="true" outlineLevel="0" collapsed="false">
      <c r="A155" s="35" t="n">
        <v>152</v>
      </c>
      <c r="B155" s="7" t="s">
        <v>262</v>
      </c>
      <c r="C155" s="7" t="s">
        <v>908</v>
      </c>
      <c r="D155" s="7" t="s">
        <v>191</v>
      </c>
      <c r="E155" s="7" t="s">
        <v>170</v>
      </c>
      <c r="F155" s="35" t="s">
        <v>87</v>
      </c>
      <c r="G155" s="7" t="s">
        <v>457</v>
      </c>
      <c r="H155" s="7" t="s">
        <v>172</v>
      </c>
      <c r="I155" s="7" t="s">
        <v>376</v>
      </c>
      <c r="J155" s="35" t="s">
        <v>207</v>
      </c>
      <c r="K155" s="7" t="s">
        <v>612</v>
      </c>
      <c r="L155" s="7" t="s">
        <v>613</v>
      </c>
      <c r="M155" s="7" t="s">
        <v>630</v>
      </c>
      <c r="N155" s="7" t="s">
        <v>215</v>
      </c>
      <c r="O155" s="7" t="s">
        <v>179</v>
      </c>
      <c r="P155" s="35" t="str">
        <f aca="true">IF(ISNUMBER(O155),O155-TODAY(),"")</f>
        <v/>
      </c>
      <c r="Q155" s="7" t="s">
        <v>179</v>
      </c>
      <c r="R155" s="36" t="n">
        <v>1800</v>
      </c>
      <c r="S155" s="36" t="n">
        <v>2800</v>
      </c>
      <c r="T155" s="37" t="n">
        <f aca="false">IF(R155="","",AVERAGE(R155,S155))</f>
        <v>2300</v>
      </c>
      <c r="U155" s="7" t="s">
        <v>547</v>
      </c>
      <c r="V155" s="38" t="s">
        <v>199</v>
      </c>
      <c r="W155" s="38" t="n">
        <v>4</v>
      </c>
      <c r="X155" s="38" t="n">
        <v>1.5</v>
      </c>
      <c r="Y155" s="35" t="n">
        <f aca="false">ROUND(0.6*W155+0.4*X155,1)</f>
        <v>3</v>
      </c>
      <c r="Z155" s="38" t="s">
        <v>304</v>
      </c>
      <c r="AA155" s="38" t="n">
        <v>0.5</v>
      </c>
      <c r="AB155" s="39" t="n">
        <f aca="false">1-AA155*(1-INDEX('Perfil e pressupostos'!$C$14:$C$20,MATCH(Z155,'Perfil e pressupostos'!$A$14:$A$20,0)))</f>
        <v>0.525</v>
      </c>
      <c r="AC155" s="38" t="n">
        <v>0.3</v>
      </c>
      <c r="AD155" s="38" t="n">
        <v>0.7</v>
      </c>
      <c r="AE155" s="38" t="n">
        <v>0.7</v>
      </c>
      <c r="AF155" s="40" t="n">
        <f aca="false">100*('Perfil e pressupostos'!$F$14*AB155+'Perfil e pressupostos'!$F$15*AC155+'Perfil e pressupostos'!$F$16*AD155+'Perfil e pressupostos'!$F$17*AE155)/'Perfil e pressupostos'!$F$18</f>
        <v>52.75</v>
      </c>
      <c r="AG155" s="41" t="n">
        <f aca="false">INDEX('Perfil e pressupostos'!$B$25:$B$28,MATCH(V155,'Perfil e pressupostos'!$A$25:$A$28,0))</f>
        <v>0.03</v>
      </c>
      <c r="AH155" s="41" t="n">
        <f aca="false">MIN('Perfil e pressupostos'!$F$29,AG155*('Perfil e pressupostos'!$F$25+'Perfil e pressupostos'!$F$26*AF155/100)*IF(AD155&lt;='Perfil e pressupostos'!$F$28,'Perfil e pressupostos'!$F$27,1))</f>
        <v>0.03099</v>
      </c>
      <c r="AI155" s="35" t="str">
        <f aca="false">IF(AQ155=0,"—",IF(AH155&gt;='Perfil e pressupostos'!$F$30,"Boa",IF(AH155&gt;='Perfil e pressupostos'!$F$31,"Média","Baixa")))</f>
        <v>Média</v>
      </c>
      <c r="AJ155" s="7" t="s">
        <v>909</v>
      </c>
      <c r="AK155" s="7" t="s">
        <v>215</v>
      </c>
      <c r="AL155" s="35" t="str">
        <f aca="false">IF(AK155="Prazo expirado","Prazo passado",IF(LEFT(AK155,11)="Monitorizar","Monitorizar",IF(Y155&gt;=3.5,"Prioridade",IF(Y155&gt;=3,"Candidatar (reach)","Reserva"))))</f>
        <v>Candidatar (reach)</v>
      </c>
      <c r="AM155" s="7" t="s">
        <v>548</v>
      </c>
      <c r="AN155" s="42" t="s">
        <v>910</v>
      </c>
      <c r="AO155" s="7" t="s">
        <v>187</v>
      </c>
      <c r="AP155" s="7" t="s">
        <v>218</v>
      </c>
      <c r="AQ155" s="7" t="n">
        <f aca="false">IF(OR(AK155="Prazo expirado",LEFT(AK155,11)="Monitorizar"),0,1)</f>
        <v>1</v>
      </c>
      <c r="AR155" s="41" t="n">
        <f aca="false">IF(AQ155=0,0,AH155)</f>
        <v>0.03099</v>
      </c>
      <c r="AS155" s="41" t="n">
        <f aca="false">AR155*W155/5</f>
        <v>0.024792</v>
      </c>
      <c r="AT155" s="43" t="n">
        <f aca="false">AS155+W155/1000000+(1000-ROW())/1000000000</f>
        <v>0.024796845</v>
      </c>
      <c r="AU155" s="35" t="n">
        <f aca="false">RANK(AT155,$AT$4:$AT$227)</f>
        <v>61</v>
      </c>
      <c r="AV155" s="40" t="n">
        <f aca="false">IF(AQ155=0,"",AF155)</f>
        <v>52.75</v>
      </c>
      <c r="AW155" s="41" t="n">
        <f aca="false">IF(AQ155=0,"",AH155)</f>
        <v>0.03099</v>
      </c>
    </row>
    <row r="156" customFormat="false" ht="33.75" hidden="false" customHeight="true" outlineLevel="0" collapsed="false">
      <c r="A156" s="35" t="n">
        <v>153</v>
      </c>
      <c r="B156" s="7" t="s">
        <v>463</v>
      </c>
      <c r="C156" s="7" t="s">
        <v>911</v>
      </c>
      <c r="D156" s="7" t="s">
        <v>282</v>
      </c>
      <c r="E156" s="7" t="s">
        <v>230</v>
      </c>
      <c r="F156" s="35" t="s">
        <v>87</v>
      </c>
      <c r="G156" s="7" t="s">
        <v>457</v>
      </c>
      <c r="H156" s="7" t="s">
        <v>172</v>
      </c>
      <c r="I156" s="7" t="s">
        <v>465</v>
      </c>
      <c r="J156" s="35" t="s">
        <v>207</v>
      </c>
      <c r="K156" s="7" t="s">
        <v>721</v>
      </c>
      <c r="L156" s="7" t="s">
        <v>722</v>
      </c>
      <c r="M156" s="7" t="s">
        <v>576</v>
      </c>
      <c r="N156" s="7" t="s">
        <v>215</v>
      </c>
      <c r="O156" s="7" t="s">
        <v>179</v>
      </c>
      <c r="P156" s="35" t="str">
        <f aca="true">IF(ISNUMBER(O156),O156-TODAY(),"")</f>
        <v/>
      </c>
      <c r="Q156" s="7" t="s">
        <v>179</v>
      </c>
      <c r="R156" s="36" t="n">
        <v>1800</v>
      </c>
      <c r="S156" s="36" t="n">
        <v>2800</v>
      </c>
      <c r="T156" s="37" t="n">
        <f aca="false">IF(R156="","",AVERAGE(R156,S156))</f>
        <v>2300</v>
      </c>
      <c r="U156" s="7" t="s">
        <v>547</v>
      </c>
      <c r="V156" s="38" t="s">
        <v>181</v>
      </c>
      <c r="W156" s="38" t="n">
        <v>4</v>
      </c>
      <c r="X156" s="38" t="n">
        <v>1.3</v>
      </c>
      <c r="Y156" s="35" t="n">
        <f aca="false">ROUND(0.6*W156+0.4*X156,1)</f>
        <v>2.9</v>
      </c>
      <c r="Z156" s="38" t="s">
        <v>304</v>
      </c>
      <c r="AA156" s="38" t="n">
        <v>0.4</v>
      </c>
      <c r="AB156" s="39" t="n">
        <f aca="false">1-AA156*(1-INDEX('Perfil e pressupostos'!$C$14:$C$20,MATCH(Z156,'Perfil e pressupostos'!$A$14:$A$20,0)))</f>
        <v>0.62</v>
      </c>
      <c r="AC156" s="38" t="n">
        <v>0.2</v>
      </c>
      <c r="AD156" s="38" t="n">
        <v>0.5</v>
      </c>
      <c r="AE156" s="38" t="n">
        <v>0.7</v>
      </c>
      <c r="AF156" s="40" t="n">
        <f aca="false">100*('Perfil e pressupostos'!$F$14*AB156+'Perfil e pressupostos'!$F$15*AC156+'Perfil e pressupostos'!$F$16*AD156+'Perfil e pressupostos'!$F$17*AE156)/'Perfil e pressupostos'!$F$18</f>
        <v>47.6</v>
      </c>
      <c r="AG156" s="41" t="n">
        <f aca="false">INDEX('Perfil e pressupostos'!$B$25:$B$28,MATCH(V156,'Perfil e pressupostos'!$A$25:$A$28,0))</f>
        <v>0.01</v>
      </c>
      <c r="AH156" s="41" t="n">
        <f aca="false">MIN('Perfil e pressupostos'!$F$29,AG156*('Perfil e pressupostos'!$F$25+'Perfil e pressupostos'!$F$26*AF156/100)*IF(AD156&lt;='Perfil e pressupostos'!$F$28,'Perfil e pressupostos'!$F$27,1))</f>
        <v>0.009712</v>
      </c>
      <c r="AI156" s="35" t="str">
        <f aca="false">IF(AQ156=0,"—",IF(AH156&gt;='Perfil e pressupostos'!$F$30,"Boa",IF(AH156&gt;='Perfil e pressupostos'!$F$31,"Média","Baixa")))</f>
        <v>Baixa</v>
      </c>
      <c r="AJ156" s="7" t="s">
        <v>472</v>
      </c>
      <c r="AK156" s="7" t="s">
        <v>215</v>
      </c>
      <c r="AL156" s="35" t="str">
        <f aca="false">IF(AK156="Prazo expirado","Prazo passado",IF(LEFT(AK156,11)="Monitorizar","Monitorizar",IF(Y156&gt;=3.5,"Prioridade",IF(Y156&gt;=3,"Candidatar (reach)","Reserva"))))</f>
        <v>Reserva</v>
      </c>
      <c r="AM156" s="7" t="s">
        <v>548</v>
      </c>
      <c r="AN156" s="42" t="s">
        <v>912</v>
      </c>
      <c r="AO156" s="7" t="s">
        <v>295</v>
      </c>
      <c r="AP156" s="7" t="s">
        <v>218</v>
      </c>
      <c r="AQ156" s="7" t="n">
        <f aca="false">IF(OR(AK156="Prazo expirado",LEFT(AK156,11)="Monitorizar"),0,1)</f>
        <v>1</v>
      </c>
      <c r="AR156" s="41" t="n">
        <f aca="false">IF(AQ156=0,0,AH156)</f>
        <v>0.009712</v>
      </c>
      <c r="AS156" s="41" t="n">
        <f aca="false">AR156*W156/5</f>
        <v>0.0077696</v>
      </c>
      <c r="AT156" s="43" t="n">
        <f aca="false">AS156+W156/1000000+(1000-ROW())/1000000000</f>
        <v>0.007774444</v>
      </c>
      <c r="AU156" s="35" t="n">
        <f aca="false">RANK(AT156,$AT$4:$AT$227)</f>
        <v>159</v>
      </c>
      <c r="AV156" s="40" t="n">
        <f aca="false">IF(AQ156=0,"",AF156)</f>
        <v>47.6</v>
      </c>
      <c r="AW156" s="41" t="n">
        <f aca="false">IF(AQ156=0,"",AH156)</f>
        <v>0.009712</v>
      </c>
    </row>
    <row r="157" customFormat="false" ht="33.75" hidden="false" customHeight="true" outlineLevel="0" collapsed="false">
      <c r="A157" s="35" t="n">
        <v>154</v>
      </c>
      <c r="B157" s="7" t="s">
        <v>390</v>
      </c>
      <c r="C157" s="7" t="s">
        <v>913</v>
      </c>
      <c r="D157" s="7" t="s">
        <v>375</v>
      </c>
      <c r="E157" s="7" t="s">
        <v>230</v>
      </c>
      <c r="F157" s="35" t="s">
        <v>85</v>
      </c>
      <c r="G157" s="7" t="s">
        <v>205</v>
      </c>
      <c r="H157" s="7" t="s">
        <v>172</v>
      </c>
      <c r="I157" s="7" t="s">
        <v>914</v>
      </c>
      <c r="J157" s="35" t="s">
        <v>394</v>
      </c>
      <c r="K157" s="7" t="s">
        <v>559</v>
      </c>
      <c r="L157" s="7" t="s">
        <v>560</v>
      </c>
      <c r="M157" s="7" t="s">
        <v>576</v>
      </c>
      <c r="N157" s="7" t="s">
        <v>215</v>
      </c>
      <c r="O157" s="7" t="s">
        <v>179</v>
      </c>
      <c r="P157" s="35" t="str">
        <f aca="true">IF(ISNUMBER(O157),O157-TODAY(),"")</f>
        <v/>
      </c>
      <c r="Q157" s="7" t="s">
        <v>179</v>
      </c>
      <c r="R157" s="36" t="n">
        <v>1500</v>
      </c>
      <c r="S157" s="36" t="n">
        <v>2500</v>
      </c>
      <c r="T157" s="37" t="n">
        <f aca="false">IF(R157="","",AVERAGE(R157,S157))</f>
        <v>2000</v>
      </c>
      <c r="U157" s="7" t="s">
        <v>547</v>
      </c>
      <c r="V157" s="38" t="s">
        <v>199</v>
      </c>
      <c r="W157" s="38" t="n">
        <v>4</v>
      </c>
      <c r="X157" s="38" t="n">
        <v>1.6</v>
      </c>
      <c r="Y157" s="35" t="n">
        <f aca="false">ROUND(0.6*W157+0.4*X157,1)</f>
        <v>3</v>
      </c>
      <c r="Z157" s="38" t="s">
        <v>182</v>
      </c>
      <c r="AA157" s="38" t="n">
        <v>1</v>
      </c>
      <c r="AB157" s="39" t="n">
        <f aca="false">1-AA157*(1-INDEX('Perfil e pressupostos'!$C$14:$C$20,MATCH(Z157,'Perfil e pressupostos'!$A$14:$A$20,0)))</f>
        <v>0.95</v>
      </c>
      <c r="AC157" s="38" t="n">
        <v>0.3</v>
      </c>
      <c r="AD157" s="38" t="n">
        <v>0.4</v>
      </c>
      <c r="AE157" s="38" t="n">
        <v>0.7</v>
      </c>
      <c r="AF157" s="40" t="n">
        <f aca="false">100*('Perfil e pressupostos'!$F$14*AB157+'Perfil e pressupostos'!$F$15*AC157+'Perfil e pressupostos'!$F$16*AD157+'Perfil e pressupostos'!$F$17*AE157)/'Perfil e pressupostos'!$F$18</f>
        <v>58</v>
      </c>
      <c r="AG157" s="41" t="n">
        <f aca="false">INDEX('Perfil e pressupostos'!$B$25:$B$28,MATCH(V157,'Perfil e pressupostos'!$A$25:$A$28,0))</f>
        <v>0.03</v>
      </c>
      <c r="AH157" s="41" t="n">
        <f aca="false">MIN('Perfil e pressupostos'!$F$29,AG157*('Perfil e pressupostos'!$F$25+'Perfil e pressupostos'!$F$26*AF157/100)*IF(AD157&lt;='Perfil e pressupostos'!$F$28,'Perfil e pressupostos'!$F$27,1))</f>
        <v>0.03288</v>
      </c>
      <c r="AI157" s="35" t="str">
        <f aca="false">IF(AQ157=0,"—",IF(AH157&gt;='Perfil e pressupostos'!$F$30,"Boa",IF(AH157&gt;='Perfil e pressupostos'!$F$31,"Média","Baixa")))</f>
        <v>Média</v>
      </c>
      <c r="AJ157" s="7" t="s">
        <v>412</v>
      </c>
      <c r="AK157" s="7" t="s">
        <v>215</v>
      </c>
      <c r="AL157" s="35" t="str">
        <f aca="false">IF(AK157="Prazo expirado","Prazo passado",IF(LEFT(AK157,11)="Monitorizar","Monitorizar",IF(Y157&gt;=3.5,"Prioridade",IF(Y157&gt;=3,"Candidatar (reach)","Reserva"))))</f>
        <v>Candidatar (reach)</v>
      </c>
      <c r="AM157" s="7" t="s">
        <v>548</v>
      </c>
      <c r="AN157" s="42" t="s">
        <v>915</v>
      </c>
      <c r="AO157" s="7" t="s">
        <v>361</v>
      </c>
      <c r="AP157" s="7" t="s">
        <v>218</v>
      </c>
      <c r="AQ157" s="7" t="n">
        <f aca="false">IF(OR(AK157="Prazo expirado",LEFT(AK157,11)="Monitorizar"),0,1)</f>
        <v>1</v>
      </c>
      <c r="AR157" s="41" t="n">
        <f aca="false">IF(AQ157=0,0,AH157)</f>
        <v>0.03288</v>
      </c>
      <c r="AS157" s="41" t="n">
        <f aca="false">AR157*W157/5</f>
        <v>0.026304</v>
      </c>
      <c r="AT157" s="43" t="n">
        <f aca="false">AS157+W157/1000000+(1000-ROW())/1000000000</f>
        <v>0.026308843</v>
      </c>
      <c r="AU157" s="35" t="n">
        <f aca="false">RANK(AT157,$AT$4:$AT$227)</f>
        <v>55</v>
      </c>
      <c r="AV157" s="40" t="n">
        <f aca="false">IF(AQ157=0,"",AF157)</f>
        <v>58</v>
      </c>
      <c r="AW157" s="41" t="n">
        <f aca="false">IF(AQ157=0,"",AH157)</f>
        <v>0.03288</v>
      </c>
    </row>
    <row r="158" customFormat="false" ht="45" hidden="false" customHeight="true" outlineLevel="0" collapsed="false">
      <c r="A158" s="35" t="n">
        <v>155</v>
      </c>
      <c r="B158" s="7" t="s">
        <v>390</v>
      </c>
      <c r="C158" s="7" t="s">
        <v>916</v>
      </c>
      <c r="D158" s="7" t="s">
        <v>169</v>
      </c>
      <c r="E158" s="7" t="s">
        <v>230</v>
      </c>
      <c r="F158" s="35" t="s">
        <v>85</v>
      </c>
      <c r="G158" s="7" t="s">
        <v>205</v>
      </c>
      <c r="H158" s="7" t="s">
        <v>172</v>
      </c>
      <c r="I158" s="7" t="s">
        <v>914</v>
      </c>
      <c r="J158" s="35" t="s">
        <v>394</v>
      </c>
      <c r="K158" s="7" t="s">
        <v>544</v>
      </c>
      <c r="L158" s="7" t="s">
        <v>545</v>
      </c>
      <c r="M158" s="7" t="s">
        <v>576</v>
      </c>
      <c r="N158" s="7" t="s">
        <v>215</v>
      </c>
      <c r="O158" s="7" t="s">
        <v>179</v>
      </c>
      <c r="P158" s="35" t="str">
        <f aca="true">IF(ISNUMBER(O158),O158-TODAY(),"")</f>
        <v/>
      </c>
      <c r="Q158" s="7" t="s">
        <v>179</v>
      </c>
      <c r="R158" s="36" t="n">
        <v>1500</v>
      </c>
      <c r="S158" s="36" t="n">
        <v>2500</v>
      </c>
      <c r="T158" s="37" t="n">
        <f aca="false">IF(R158="","",AVERAGE(R158,S158))</f>
        <v>2000</v>
      </c>
      <c r="U158" s="7" t="s">
        <v>547</v>
      </c>
      <c r="V158" s="38" t="s">
        <v>199</v>
      </c>
      <c r="W158" s="38" t="n">
        <v>5</v>
      </c>
      <c r="X158" s="38" t="n">
        <v>1.6</v>
      </c>
      <c r="Y158" s="35" t="n">
        <f aca="false">ROUND(0.6*W158+0.4*X158,1)</f>
        <v>3.6</v>
      </c>
      <c r="Z158" s="38" t="s">
        <v>182</v>
      </c>
      <c r="AA158" s="38" t="n">
        <v>1</v>
      </c>
      <c r="AB158" s="39" t="n">
        <f aca="false">1-AA158*(1-INDEX('Perfil e pressupostos'!$C$14:$C$20,MATCH(Z158,'Perfil e pressupostos'!$A$14:$A$20,0)))</f>
        <v>0.95</v>
      </c>
      <c r="AC158" s="38" t="n">
        <v>0.3</v>
      </c>
      <c r="AD158" s="38" t="n">
        <v>0.4</v>
      </c>
      <c r="AE158" s="38" t="n">
        <v>0.7</v>
      </c>
      <c r="AF158" s="40" t="n">
        <f aca="false">100*('Perfil e pressupostos'!$F$14*AB158+'Perfil e pressupostos'!$F$15*AC158+'Perfil e pressupostos'!$F$16*AD158+'Perfil e pressupostos'!$F$17*AE158)/'Perfil e pressupostos'!$F$18</f>
        <v>58</v>
      </c>
      <c r="AG158" s="41" t="n">
        <f aca="false">INDEX('Perfil e pressupostos'!$B$25:$B$28,MATCH(V158,'Perfil e pressupostos'!$A$25:$A$28,0))</f>
        <v>0.03</v>
      </c>
      <c r="AH158" s="41" t="n">
        <f aca="false">MIN('Perfil e pressupostos'!$F$29,AG158*('Perfil e pressupostos'!$F$25+'Perfil e pressupostos'!$F$26*AF158/100)*IF(AD158&lt;='Perfil e pressupostos'!$F$28,'Perfil e pressupostos'!$F$27,1))</f>
        <v>0.03288</v>
      </c>
      <c r="AI158" s="35" t="str">
        <f aca="false">IF(AQ158=0,"—",IF(AH158&gt;='Perfil e pressupostos'!$F$30,"Boa",IF(AH158&gt;='Perfil e pressupostos'!$F$31,"Média","Baixa")))</f>
        <v>Média</v>
      </c>
      <c r="AJ158" s="7" t="s">
        <v>412</v>
      </c>
      <c r="AK158" s="7" t="s">
        <v>215</v>
      </c>
      <c r="AL158" s="35" t="str">
        <f aca="false">IF(AK158="Prazo expirado","Prazo passado",IF(LEFT(AK158,11)="Monitorizar","Monitorizar",IF(Y158&gt;=3.5,"Prioridade",IF(Y158&gt;=3,"Candidatar (reach)","Reserva"))))</f>
        <v>Prioridade</v>
      </c>
      <c r="AM158" s="7" t="s">
        <v>548</v>
      </c>
      <c r="AN158" s="42" t="s">
        <v>917</v>
      </c>
      <c r="AO158" s="7" t="s">
        <v>361</v>
      </c>
      <c r="AP158" s="7" t="s">
        <v>218</v>
      </c>
      <c r="AQ158" s="7" t="n">
        <f aca="false">IF(OR(AK158="Prazo expirado",LEFT(AK158,11)="Monitorizar"),0,1)</f>
        <v>1</v>
      </c>
      <c r="AR158" s="41" t="n">
        <f aca="false">IF(AQ158=0,0,AH158)</f>
        <v>0.03288</v>
      </c>
      <c r="AS158" s="41" t="n">
        <f aca="false">AR158*W158/5</f>
        <v>0.03288</v>
      </c>
      <c r="AT158" s="43" t="n">
        <f aca="false">AS158+W158/1000000+(1000-ROW())/1000000000</f>
        <v>0.032885842</v>
      </c>
      <c r="AU158" s="35" t="n">
        <f aca="false">RANK(AT158,$AT$4:$AT$227)</f>
        <v>44</v>
      </c>
      <c r="AV158" s="40" t="n">
        <f aca="false">IF(AQ158=0,"",AF158)</f>
        <v>58</v>
      </c>
      <c r="AW158" s="41" t="n">
        <f aca="false">IF(AQ158=0,"",AH158)</f>
        <v>0.03288</v>
      </c>
    </row>
    <row r="159" customFormat="false" ht="33.75" hidden="false" customHeight="true" outlineLevel="0" collapsed="false">
      <c r="A159" s="35" t="n">
        <v>156</v>
      </c>
      <c r="B159" s="7" t="s">
        <v>390</v>
      </c>
      <c r="C159" s="7" t="s">
        <v>918</v>
      </c>
      <c r="D159" s="7" t="s">
        <v>568</v>
      </c>
      <c r="E159" s="7" t="s">
        <v>230</v>
      </c>
      <c r="F159" s="35" t="s">
        <v>85</v>
      </c>
      <c r="G159" s="7" t="s">
        <v>205</v>
      </c>
      <c r="H159" s="7" t="s">
        <v>172</v>
      </c>
      <c r="I159" s="7" t="s">
        <v>914</v>
      </c>
      <c r="J159" s="35" t="s">
        <v>394</v>
      </c>
      <c r="K159" s="7" t="s">
        <v>569</v>
      </c>
      <c r="L159" s="7" t="s">
        <v>570</v>
      </c>
      <c r="M159" s="7" t="s">
        <v>576</v>
      </c>
      <c r="N159" s="7" t="s">
        <v>215</v>
      </c>
      <c r="O159" s="7" t="s">
        <v>179</v>
      </c>
      <c r="P159" s="35" t="str">
        <f aca="true">IF(ISNUMBER(O159),O159-TODAY(),"")</f>
        <v/>
      </c>
      <c r="Q159" s="7" t="s">
        <v>179</v>
      </c>
      <c r="R159" s="36" t="n">
        <v>1500</v>
      </c>
      <c r="S159" s="36" t="n">
        <v>2500</v>
      </c>
      <c r="T159" s="37" t="n">
        <f aca="false">IF(R159="","",AVERAGE(R159,S159))</f>
        <v>2000</v>
      </c>
      <c r="U159" s="7" t="s">
        <v>547</v>
      </c>
      <c r="V159" s="38" t="s">
        <v>199</v>
      </c>
      <c r="W159" s="38" t="n">
        <v>3</v>
      </c>
      <c r="X159" s="38" t="n">
        <v>1.7</v>
      </c>
      <c r="Y159" s="35" t="n">
        <f aca="false">ROUND(0.6*W159+0.4*X159,1)</f>
        <v>2.5</v>
      </c>
      <c r="Z159" s="38" t="s">
        <v>182</v>
      </c>
      <c r="AA159" s="38" t="n">
        <v>1</v>
      </c>
      <c r="AB159" s="39" t="n">
        <f aca="false">1-AA159*(1-INDEX('Perfil e pressupostos'!$C$14:$C$20,MATCH(Z159,'Perfil e pressupostos'!$A$14:$A$20,0)))</f>
        <v>0.95</v>
      </c>
      <c r="AC159" s="38" t="n">
        <v>0.4</v>
      </c>
      <c r="AD159" s="38" t="n">
        <v>0.4</v>
      </c>
      <c r="AE159" s="38" t="n">
        <v>0.7</v>
      </c>
      <c r="AF159" s="40" t="n">
        <f aca="false">100*('Perfil e pressupostos'!$F$14*AB159+'Perfil e pressupostos'!$F$15*AC159+'Perfil e pressupostos'!$F$16*AD159+'Perfil e pressupostos'!$F$17*AE159)/'Perfil e pressupostos'!$F$18</f>
        <v>61</v>
      </c>
      <c r="AG159" s="41" t="n">
        <f aca="false">INDEX('Perfil e pressupostos'!$B$25:$B$28,MATCH(V159,'Perfil e pressupostos'!$A$25:$A$28,0))</f>
        <v>0.03</v>
      </c>
      <c r="AH159" s="41" t="n">
        <f aca="false">MIN('Perfil e pressupostos'!$F$29,AG159*('Perfil e pressupostos'!$F$25+'Perfil e pressupostos'!$F$26*AF159/100)*IF(AD159&lt;='Perfil e pressupostos'!$F$28,'Perfil e pressupostos'!$F$27,1))</f>
        <v>0.03396</v>
      </c>
      <c r="AI159" s="35" t="str">
        <f aca="false">IF(AQ159=0,"—",IF(AH159&gt;='Perfil e pressupostos'!$F$30,"Boa",IF(AH159&gt;='Perfil e pressupostos'!$F$31,"Média","Baixa")))</f>
        <v>Média</v>
      </c>
      <c r="AJ159" s="7" t="s">
        <v>412</v>
      </c>
      <c r="AK159" s="7" t="s">
        <v>215</v>
      </c>
      <c r="AL159" s="35" t="str">
        <f aca="false">IF(AK159="Prazo expirado","Prazo passado",IF(LEFT(AK159,11)="Monitorizar","Monitorizar",IF(Y159&gt;=3.5,"Prioridade",IF(Y159&gt;=3,"Candidatar (reach)","Reserva"))))</f>
        <v>Reserva</v>
      </c>
      <c r="AM159" s="7" t="s">
        <v>548</v>
      </c>
      <c r="AN159" s="42" t="s">
        <v>919</v>
      </c>
      <c r="AO159" s="7" t="s">
        <v>361</v>
      </c>
      <c r="AP159" s="7" t="s">
        <v>218</v>
      </c>
      <c r="AQ159" s="7" t="n">
        <f aca="false">IF(OR(AK159="Prazo expirado",LEFT(AK159,11)="Monitorizar"),0,1)</f>
        <v>1</v>
      </c>
      <c r="AR159" s="41" t="n">
        <f aca="false">IF(AQ159=0,0,AH159)</f>
        <v>0.03396</v>
      </c>
      <c r="AS159" s="41" t="n">
        <f aca="false">AR159*W159/5</f>
        <v>0.020376</v>
      </c>
      <c r="AT159" s="43" t="n">
        <f aca="false">AS159+W159/1000000+(1000-ROW())/1000000000</f>
        <v>0.020379841</v>
      </c>
      <c r="AU159" s="35" t="n">
        <f aca="false">RANK(AT159,$AT$4:$AT$227)</f>
        <v>80</v>
      </c>
      <c r="AV159" s="40" t="n">
        <f aca="false">IF(AQ159=0,"",AF159)</f>
        <v>61</v>
      </c>
      <c r="AW159" s="41" t="n">
        <f aca="false">IF(AQ159=0,"",AH159)</f>
        <v>0.03396</v>
      </c>
    </row>
    <row r="160" customFormat="false" ht="45" hidden="false" customHeight="true" outlineLevel="0" collapsed="false">
      <c r="A160" s="35" t="n">
        <v>157</v>
      </c>
      <c r="B160" s="7" t="s">
        <v>390</v>
      </c>
      <c r="C160" s="7" t="s">
        <v>920</v>
      </c>
      <c r="D160" s="7" t="s">
        <v>169</v>
      </c>
      <c r="E160" s="7" t="s">
        <v>230</v>
      </c>
      <c r="F160" s="35" t="s">
        <v>85</v>
      </c>
      <c r="G160" s="7" t="s">
        <v>205</v>
      </c>
      <c r="H160" s="7" t="s">
        <v>172</v>
      </c>
      <c r="I160" s="7" t="s">
        <v>914</v>
      </c>
      <c r="J160" s="35" t="s">
        <v>394</v>
      </c>
      <c r="K160" s="7" t="s">
        <v>544</v>
      </c>
      <c r="L160" s="7" t="s">
        <v>545</v>
      </c>
      <c r="M160" s="7" t="s">
        <v>576</v>
      </c>
      <c r="N160" s="7" t="s">
        <v>215</v>
      </c>
      <c r="O160" s="7" t="s">
        <v>179</v>
      </c>
      <c r="P160" s="35" t="str">
        <f aca="true">IF(ISNUMBER(O160),O160-TODAY(),"")</f>
        <v/>
      </c>
      <c r="Q160" s="7" t="s">
        <v>179</v>
      </c>
      <c r="R160" s="36" t="n">
        <v>1500</v>
      </c>
      <c r="S160" s="36" t="n">
        <v>2500</v>
      </c>
      <c r="T160" s="37" t="n">
        <f aca="false">IF(R160="","",AVERAGE(R160,S160))</f>
        <v>2000</v>
      </c>
      <c r="U160" s="7" t="s">
        <v>547</v>
      </c>
      <c r="V160" s="38" t="s">
        <v>199</v>
      </c>
      <c r="W160" s="38" t="n">
        <v>4</v>
      </c>
      <c r="X160" s="38" t="n">
        <v>1.6</v>
      </c>
      <c r="Y160" s="35" t="n">
        <f aca="false">ROUND(0.6*W160+0.4*X160,1)</f>
        <v>3</v>
      </c>
      <c r="Z160" s="38" t="s">
        <v>182</v>
      </c>
      <c r="AA160" s="38" t="n">
        <v>1</v>
      </c>
      <c r="AB160" s="39" t="n">
        <f aca="false">1-AA160*(1-INDEX('Perfil e pressupostos'!$C$14:$C$20,MATCH(Z160,'Perfil e pressupostos'!$A$14:$A$20,0)))</f>
        <v>0.95</v>
      </c>
      <c r="AC160" s="38" t="n">
        <v>0.3</v>
      </c>
      <c r="AD160" s="38" t="n">
        <v>0.4</v>
      </c>
      <c r="AE160" s="38" t="n">
        <v>0.7</v>
      </c>
      <c r="AF160" s="40" t="n">
        <f aca="false">100*('Perfil e pressupostos'!$F$14*AB160+'Perfil e pressupostos'!$F$15*AC160+'Perfil e pressupostos'!$F$16*AD160+'Perfil e pressupostos'!$F$17*AE160)/'Perfil e pressupostos'!$F$18</f>
        <v>58</v>
      </c>
      <c r="AG160" s="41" t="n">
        <f aca="false">INDEX('Perfil e pressupostos'!$B$25:$B$28,MATCH(V160,'Perfil e pressupostos'!$A$25:$A$28,0))</f>
        <v>0.03</v>
      </c>
      <c r="AH160" s="41" t="n">
        <f aca="false">MIN('Perfil e pressupostos'!$F$29,AG160*('Perfil e pressupostos'!$F$25+'Perfil e pressupostos'!$F$26*AF160/100)*IF(AD160&lt;='Perfil e pressupostos'!$F$28,'Perfil e pressupostos'!$F$27,1))</f>
        <v>0.03288</v>
      </c>
      <c r="AI160" s="35" t="str">
        <f aca="false">IF(AQ160=0,"—",IF(AH160&gt;='Perfil e pressupostos'!$F$30,"Boa",IF(AH160&gt;='Perfil e pressupostos'!$F$31,"Média","Baixa")))</f>
        <v>Média</v>
      </c>
      <c r="AJ160" s="7" t="s">
        <v>412</v>
      </c>
      <c r="AK160" s="7" t="s">
        <v>215</v>
      </c>
      <c r="AL160" s="35" t="str">
        <f aca="false">IF(AK160="Prazo expirado","Prazo passado",IF(LEFT(AK160,11)="Monitorizar","Monitorizar",IF(Y160&gt;=3.5,"Prioridade",IF(Y160&gt;=3,"Candidatar (reach)","Reserva"))))</f>
        <v>Candidatar (reach)</v>
      </c>
      <c r="AM160" s="7" t="s">
        <v>548</v>
      </c>
      <c r="AN160" s="42" t="s">
        <v>921</v>
      </c>
      <c r="AO160" s="7" t="s">
        <v>361</v>
      </c>
      <c r="AP160" s="7" t="s">
        <v>218</v>
      </c>
      <c r="AQ160" s="7" t="n">
        <f aca="false">IF(OR(AK160="Prazo expirado",LEFT(AK160,11)="Monitorizar"),0,1)</f>
        <v>1</v>
      </c>
      <c r="AR160" s="41" t="n">
        <f aca="false">IF(AQ160=0,0,AH160)</f>
        <v>0.03288</v>
      </c>
      <c r="AS160" s="41" t="n">
        <f aca="false">AR160*W160/5</f>
        <v>0.026304</v>
      </c>
      <c r="AT160" s="43" t="n">
        <f aca="false">AS160+W160/1000000+(1000-ROW())/1000000000</f>
        <v>0.02630884</v>
      </c>
      <c r="AU160" s="35" t="n">
        <f aca="false">RANK(AT160,$AT$4:$AT$227)</f>
        <v>56</v>
      </c>
      <c r="AV160" s="40" t="n">
        <f aca="false">IF(AQ160=0,"",AF160)</f>
        <v>58</v>
      </c>
      <c r="AW160" s="41" t="n">
        <f aca="false">IF(AQ160=0,"",AH160)</f>
        <v>0.03288</v>
      </c>
    </row>
    <row r="161" customFormat="false" ht="33.75" hidden="false" customHeight="true" outlineLevel="0" collapsed="false">
      <c r="A161" s="35" t="n">
        <v>158</v>
      </c>
      <c r="B161" s="7" t="s">
        <v>308</v>
      </c>
      <c r="C161" s="7" t="s">
        <v>922</v>
      </c>
      <c r="D161" s="7" t="s">
        <v>627</v>
      </c>
      <c r="E161" s="7" t="s">
        <v>310</v>
      </c>
      <c r="F161" s="35" t="s">
        <v>89</v>
      </c>
      <c r="G161" s="7" t="s">
        <v>311</v>
      </c>
      <c r="H161" s="7" t="s">
        <v>172</v>
      </c>
      <c r="I161" s="7" t="s">
        <v>179</v>
      </c>
      <c r="J161" s="35" t="s">
        <v>207</v>
      </c>
      <c r="K161" s="7" t="s">
        <v>628</v>
      </c>
      <c r="L161" s="7" t="s">
        <v>629</v>
      </c>
      <c r="M161" s="7" t="s">
        <v>576</v>
      </c>
      <c r="N161" s="7" t="s">
        <v>215</v>
      </c>
      <c r="O161" s="7" t="s">
        <v>179</v>
      </c>
      <c r="P161" s="35" t="str">
        <f aca="true">IF(ISNUMBER(O161),O161-TODAY(),"")</f>
        <v/>
      </c>
      <c r="Q161" s="7" t="s">
        <v>179</v>
      </c>
      <c r="R161" s="36" t="n">
        <v>1000</v>
      </c>
      <c r="S161" s="36" t="n">
        <v>1400</v>
      </c>
      <c r="T161" s="37" t="n">
        <f aca="false">IF(R161="","",AVERAGE(R161,S161))</f>
        <v>1200</v>
      </c>
      <c r="U161" s="7" t="s">
        <v>547</v>
      </c>
      <c r="V161" s="38" t="s">
        <v>318</v>
      </c>
      <c r="W161" s="38" t="n">
        <v>3.5</v>
      </c>
      <c r="X161" s="38" t="n">
        <v>3.7</v>
      </c>
      <c r="Y161" s="35" t="n">
        <f aca="false">ROUND(0.6*W161+0.4*X161,1)</f>
        <v>3.6</v>
      </c>
      <c r="Z161" s="38" t="s">
        <v>182</v>
      </c>
      <c r="AA161" s="38" t="n">
        <v>1</v>
      </c>
      <c r="AB161" s="39" t="n">
        <f aca="false">1-AA161*(1-INDEX('Perfil e pressupostos'!$C$14:$C$20,MATCH(Z161,'Perfil e pressupostos'!$A$14:$A$20,0)))</f>
        <v>0.95</v>
      </c>
      <c r="AC161" s="38" t="n">
        <v>0.7</v>
      </c>
      <c r="AD161" s="38" t="n">
        <v>1</v>
      </c>
      <c r="AE161" s="38" t="n">
        <v>0.85</v>
      </c>
      <c r="AF161" s="40" t="n">
        <f aca="false">100*('Perfil e pressupostos'!$F$14*AB161+'Perfil e pressupostos'!$F$15*AC161+'Perfil e pressupostos'!$F$16*AD161+'Perfil e pressupostos'!$F$17*AE161)/'Perfil e pressupostos'!$F$18</f>
        <v>87.25</v>
      </c>
      <c r="AG161" s="41" t="n">
        <f aca="false">INDEX('Perfil e pressupostos'!$B$25:$B$28,MATCH(V161,'Perfil e pressupostos'!$A$25:$A$28,0))</f>
        <v>0.08</v>
      </c>
      <c r="AH161" s="41" t="n">
        <f aca="false">MIN('Perfil e pressupostos'!$F$29,AG161*('Perfil e pressupostos'!$F$25+'Perfil e pressupostos'!$F$26*AF161/100)*IF(AD161&lt;='Perfil e pressupostos'!$F$28,'Perfil e pressupostos'!$F$27,1))</f>
        <v>0.11576</v>
      </c>
      <c r="AI161" s="35" t="str">
        <f aca="false">IF(AQ161=0,"—",IF(AH161&gt;='Perfil e pressupostos'!$F$30,"Boa",IF(AH161&gt;='Perfil e pressupostos'!$F$31,"Média","Baixa")))</f>
        <v>Boa</v>
      </c>
      <c r="AJ161" s="7" t="s">
        <v>319</v>
      </c>
      <c r="AK161" s="7" t="s">
        <v>215</v>
      </c>
      <c r="AL161" s="35" t="str">
        <f aca="false">IF(AK161="Prazo expirado","Prazo passado",IF(LEFT(AK161,11)="Monitorizar","Monitorizar",IF(Y161&gt;=3.5,"Prioridade",IF(Y161&gt;=3,"Candidatar (reach)","Reserva"))))</f>
        <v>Prioridade</v>
      </c>
      <c r="AM161" s="7" t="s">
        <v>548</v>
      </c>
      <c r="AN161" s="42" t="s">
        <v>923</v>
      </c>
      <c r="AO161" s="7" t="s">
        <v>187</v>
      </c>
      <c r="AP161" s="7" t="s">
        <v>218</v>
      </c>
      <c r="AQ161" s="7" t="n">
        <f aca="false">IF(OR(AK161="Prazo expirado",LEFT(AK161,11)="Monitorizar"),0,1)</f>
        <v>1</v>
      </c>
      <c r="AR161" s="41" t="n">
        <f aca="false">IF(AQ161=0,0,AH161)</f>
        <v>0.11576</v>
      </c>
      <c r="AS161" s="41" t="n">
        <f aca="false">AR161*W161/5</f>
        <v>0.081032</v>
      </c>
      <c r="AT161" s="43" t="n">
        <f aca="false">AS161+W161/1000000+(1000-ROW())/1000000000</f>
        <v>0.081036339</v>
      </c>
      <c r="AU161" s="35" t="n">
        <f aca="false">RANK(AT161,$AT$4:$AT$227)</f>
        <v>13</v>
      </c>
      <c r="AV161" s="40" t="n">
        <f aca="false">IF(AQ161=0,"",AF161)</f>
        <v>87.25</v>
      </c>
      <c r="AW161" s="41" t="n">
        <f aca="false">IF(AQ161=0,"",AH161)</f>
        <v>0.11576</v>
      </c>
    </row>
    <row r="162" customFormat="false" ht="33.75" hidden="false" customHeight="true" outlineLevel="0" collapsed="false">
      <c r="A162" s="35" t="n">
        <v>159</v>
      </c>
      <c r="B162" s="7" t="s">
        <v>308</v>
      </c>
      <c r="C162" s="7" t="s">
        <v>924</v>
      </c>
      <c r="D162" s="7" t="s">
        <v>627</v>
      </c>
      <c r="E162" s="7" t="s">
        <v>310</v>
      </c>
      <c r="F162" s="35" t="s">
        <v>89</v>
      </c>
      <c r="G162" s="7" t="s">
        <v>311</v>
      </c>
      <c r="H162" s="7" t="s">
        <v>172</v>
      </c>
      <c r="I162" s="7" t="s">
        <v>179</v>
      </c>
      <c r="J162" s="35" t="s">
        <v>207</v>
      </c>
      <c r="K162" s="7" t="s">
        <v>628</v>
      </c>
      <c r="L162" s="7" t="s">
        <v>629</v>
      </c>
      <c r="M162" s="7" t="s">
        <v>576</v>
      </c>
      <c r="N162" s="7" t="s">
        <v>215</v>
      </c>
      <c r="O162" s="7" t="s">
        <v>179</v>
      </c>
      <c r="P162" s="35" t="str">
        <f aca="true">IF(ISNUMBER(O162),O162-TODAY(),"")</f>
        <v/>
      </c>
      <c r="Q162" s="7" t="s">
        <v>179</v>
      </c>
      <c r="R162" s="36" t="n">
        <v>1000</v>
      </c>
      <c r="S162" s="36" t="n">
        <v>1400</v>
      </c>
      <c r="T162" s="37" t="n">
        <f aca="false">IF(R162="","",AVERAGE(R162,S162))</f>
        <v>1200</v>
      </c>
      <c r="U162" s="7" t="s">
        <v>547</v>
      </c>
      <c r="V162" s="38" t="s">
        <v>318</v>
      </c>
      <c r="W162" s="38" t="n">
        <v>3.5</v>
      </c>
      <c r="X162" s="38" t="n">
        <v>3.7</v>
      </c>
      <c r="Y162" s="35" t="n">
        <f aca="false">ROUND(0.6*W162+0.4*X162,1)</f>
        <v>3.6</v>
      </c>
      <c r="Z162" s="38" t="s">
        <v>182</v>
      </c>
      <c r="AA162" s="38" t="n">
        <v>1</v>
      </c>
      <c r="AB162" s="39" t="n">
        <f aca="false">1-AA162*(1-INDEX('Perfil e pressupostos'!$C$14:$C$20,MATCH(Z162,'Perfil e pressupostos'!$A$14:$A$20,0)))</f>
        <v>0.95</v>
      </c>
      <c r="AC162" s="38" t="n">
        <v>0.7</v>
      </c>
      <c r="AD162" s="38" t="n">
        <v>1</v>
      </c>
      <c r="AE162" s="38" t="n">
        <v>0.85</v>
      </c>
      <c r="AF162" s="40" t="n">
        <f aca="false">100*('Perfil e pressupostos'!$F$14*AB162+'Perfil e pressupostos'!$F$15*AC162+'Perfil e pressupostos'!$F$16*AD162+'Perfil e pressupostos'!$F$17*AE162)/'Perfil e pressupostos'!$F$18</f>
        <v>87.25</v>
      </c>
      <c r="AG162" s="41" t="n">
        <f aca="false">INDEX('Perfil e pressupostos'!$B$25:$B$28,MATCH(V162,'Perfil e pressupostos'!$A$25:$A$28,0))</f>
        <v>0.08</v>
      </c>
      <c r="AH162" s="41" t="n">
        <f aca="false">MIN('Perfil e pressupostos'!$F$29,AG162*('Perfil e pressupostos'!$F$25+'Perfil e pressupostos'!$F$26*AF162/100)*IF(AD162&lt;='Perfil e pressupostos'!$F$28,'Perfil e pressupostos'!$F$27,1))</f>
        <v>0.11576</v>
      </c>
      <c r="AI162" s="35" t="str">
        <f aca="false">IF(AQ162=0,"—",IF(AH162&gt;='Perfil e pressupostos'!$F$30,"Boa",IF(AH162&gt;='Perfil e pressupostos'!$F$31,"Média","Baixa")))</f>
        <v>Boa</v>
      </c>
      <c r="AJ162" s="7" t="s">
        <v>319</v>
      </c>
      <c r="AK162" s="7" t="s">
        <v>215</v>
      </c>
      <c r="AL162" s="35" t="str">
        <f aca="false">IF(AK162="Prazo expirado","Prazo passado",IF(LEFT(AK162,11)="Monitorizar","Monitorizar",IF(Y162&gt;=3.5,"Prioridade",IF(Y162&gt;=3,"Candidatar (reach)","Reserva"))))</f>
        <v>Prioridade</v>
      </c>
      <c r="AM162" s="7" t="s">
        <v>548</v>
      </c>
      <c r="AN162" s="42" t="s">
        <v>925</v>
      </c>
      <c r="AO162" s="7" t="s">
        <v>187</v>
      </c>
      <c r="AP162" s="7" t="s">
        <v>218</v>
      </c>
      <c r="AQ162" s="7" t="n">
        <f aca="false">IF(OR(AK162="Prazo expirado",LEFT(AK162,11)="Monitorizar"),0,1)</f>
        <v>1</v>
      </c>
      <c r="AR162" s="41" t="n">
        <f aca="false">IF(AQ162=0,0,AH162)</f>
        <v>0.11576</v>
      </c>
      <c r="AS162" s="41" t="n">
        <f aca="false">AR162*W162/5</f>
        <v>0.081032</v>
      </c>
      <c r="AT162" s="43" t="n">
        <f aca="false">AS162+W162/1000000+(1000-ROW())/1000000000</f>
        <v>0.081036338</v>
      </c>
      <c r="AU162" s="35" t="n">
        <f aca="false">RANK(AT162,$AT$4:$AT$227)</f>
        <v>14</v>
      </c>
      <c r="AV162" s="40" t="n">
        <f aca="false">IF(AQ162=0,"",AF162)</f>
        <v>87.25</v>
      </c>
      <c r="AW162" s="41" t="n">
        <f aca="false">IF(AQ162=0,"",AH162)</f>
        <v>0.11576</v>
      </c>
    </row>
    <row r="163" customFormat="false" ht="33.75" hidden="false" customHeight="true" outlineLevel="0" collapsed="false">
      <c r="A163" s="35" t="n">
        <v>160</v>
      </c>
      <c r="B163" s="7" t="s">
        <v>926</v>
      </c>
      <c r="C163" s="7" t="s">
        <v>927</v>
      </c>
      <c r="D163" s="7" t="s">
        <v>928</v>
      </c>
      <c r="E163" s="7" t="s">
        <v>325</v>
      </c>
      <c r="F163" s="35" t="s">
        <v>89</v>
      </c>
      <c r="G163" s="7" t="s">
        <v>311</v>
      </c>
      <c r="H163" s="7" t="s">
        <v>172</v>
      </c>
      <c r="I163" s="7" t="s">
        <v>173</v>
      </c>
      <c r="J163" s="35" t="s">
        <v>207</v>
      </c>
      <c r="K163" s="7" t="s">
        <v>929</v>
      </c>
      <c r="L163" s="7" t="s">
        <v>930</v>
      </c>
      <c r="M163" s="7" t="s">
        <v>576</v>
      </c>
      <c r="N163" s="7" t="s">
        <v>342</v>
      </c>
      <c r="O163" s="7" t="s">
        <v>179</v>
      </c>
      <c r="P163" s="35" t="str">
        <f aca="true">IF(ISNUMBER(O163),O163-TODAY(),"")</f>
        <v/>
      </c>
      <c r="Q163" s="7" t="s">
        <v>179</v>
      </c>
      <c r="R163" s="36" t="n">
        <v>1000</v>
      </c>
      <c r="S163" s="36" t="n">
        <v>1400</v>
      </c>
      <c r="T163" s="37" t="n">
        <f aca="false">IF(R163="","",AVERAGE(R163,S163))</f>
        <v>1200</v>
      </c>
      <c r="U163" s="7" t="s">
        <v>547</v>
      </c>
      <c r="V163" s="38" t="s">
        <v>517</v>
      </c>
      <c r="W163" s="38" t="n">
        <v>2</v>
      </c>
      <c r="X163" s="38" t="n">
        <v>4.2</v>
      </c>
      <c r="Y163" s="35" t="n">
        <f aca="false">ROUND(0.6*W163+0.4*X163,1)</f>
        <v>2.9</v>
      </c>
      <c r="Z163" s="38" t="s">
        <v>182</v>
      </c>
      <c r="AA163" s="38" t="n">
        <v>1</v>
      </c>
      <c r="AB163" s="39" t="n">
        <f aca="false">1-AA163*(1-INDEX('Perfil e pressupostos'!$C$14:$C$20,MATCH(Z163,'Perfil e pressupostos'!$A$14:$A$20,0)))</f>
        <v>0.95</v>
      </c>
      <c r="AC163" s="38" t="n">
        <v>0.9</v>
      </c>
      <c r="AD163" s="38" t="n">
        <v>1</v>
      </c>
      <c r="AE163" s="38" t="n">
        <v>0.8</v>
      </c>
      <c r="AF163" s="40" t="n">
        <f aca="false">100*('Perfil e pressupostos'!$F$14*AB163+'Perfil e pressupostos'!$F$15*AC163+'Perfil e pressupostos'!$F$16*AD163+'Perfil e pressupostos'!$F$17*AE163)/'Perfil e pressupostos'!$F$18</f>
        <v>92.5</v>
      </c>
      <c r="AG163" s="41" t="n">
        <f aca="false">INDEX('Perfil e pressupostos'!$B$25:$B$28,MATCH(V163,'Perfil e pressupostos'!$A$25:$A$28,0))</f>
        <v>0.12</v>
      </c>
      <c r="AH163" s="41" t="n">
        <f aca="false">MIN('Perfil e pressupostos'!$F$29,AG163*('Perfil e pressupostos'!$F$25+'Perfil e pressupostos'!$F$26*AF163/100)*IF(AD163&lt;='Perfil e pressupostos'!$F$28,'Perfil e pressupostos'!$F$27,1))</f>
        <v>0.1812</v>
      </c>
      <c r="AI163" s="35" t="str">
        <f aca="false">IF(AQ163=0,"—",IF(AH163&gt;='Perfil e pressupostos'!$F$30,"Boa",IF(AH163&gt;='Perfil e pressupostos'!$F$31,"Média","Baixa")))</f>
        <v>Boa</v>
      </c>
      <c r="AJ163" s="7" t="s">
        <v>319</v>
      </c>
      <c r="AK163" s="7" t="s">
        <v>215</v>
      </c>
      <c r="AL163" s="35" t="str">
        <f aca="false">IF(AK163="Prazo expirado","Prazo passado",IF(LEFT(AK163,11)="Monitorizar","Monitorizar",IF(Y163&gt;=3.5,"Prioridade",IF(Y163&gt;=3,"Candidatar (reach)","Reserva"))))</f>
        <v>Reserva</v>
      </c>
      <c r="AM163" s="7" t="s">
        <v>931</v>
      </c>
      <c r="AN163" s="42" t="s">
        <v>932</v>
      </c>
      <c r="AO163" s="7" t="s">
        <v>187</v>
      </c>
      <c r="AP163" s="7" t="s">
        <v>218</v>
      </c>
      <c r="AQ163" s="7" t="n">
        <f aca="false">IF(OR(AK163="Prazo expirado",LEFT(AK163,11)="Monitorizar"),0,1)</f>
        <v>1</v>
      </c>
      <c r="AR163" s="41" t="n">
        <f aca="false">IF(AQ163=0,0,AH163)</f>
        <v>0.1812</v>
      </c>
      <c r="AS163" s="41" t="n">
        <f aca="false">AR163*W163/5</f>
        <v>0.07248</v>
      </c>
      <c r="AT163" s="43" t="n">
        <f aca="false">AS163+W163/1000000+(1000-ROW())/1000000000</f>
        <v>0.072482837</v>
      </c>
      <c r="AU163" s="35" t="n">
        <f aca="false">RANK(AT163,$AT$4:$AT$227)</f>
        <v>18</v>
      </c>
      <c r="AV163" s="40" t="n">
        <f aca="false">IF(AQ163=0,"",AF163)</f>
        <v>92.5</v>
      </c>
      <c r="AW163" s="41" t="n">
        <f aca="false">IF(AQ163=0,"",AH163)</f>
        <v>0.1812</v>
      </c>
    </row>
    <row r="164" customFormat="false" ht="33.75" hidden="false" customHeight="true" outlineLevel="0" collapsed="false">
      <c r="A164" s="35" t="n">
        <v>161</v>
      </c>
      <c r="B164" s="7" t="s">
        <v>933</v>
      </c>
      <c r="C164" s="7" t="s">
        <v>934</v>
      </c>
      <c r="D164" s="7" t="s">
        <v>935</v>
      </c>
      <c r="E164" s="7" t="s">
        <v>325</v>
      </c>
      <c r="F164" s="35" t="s">
        <v>89</v>
      </c>
      <c r="G164" s="7" t="s">
        <v>311</v>
      </c>
      <c r="H164" s="7" t="s">
        <v>172</v>
      </c>
      <c r="I164" s="7" t="s">
        <v>173</v>
      </c>
      <c r="J164" s="35" t="s">
        <v>207</v>
      </c>
      <c r="K164" s="7" t="s">
        <v>929</v>
      </c>
      <c r="L164" s="7" t="s">
        <v>930</v>
      </c>
      <c r="M164" s="7" t="s">
        <v>936</v>
      </c>
      <c r="N164" s="7" t="s">
        <v>342</v>
      </c>
      <c r="O164" s="7" t="s">
        <v>179</v>
      </c>
      <c r="P164" s="35" t="str">
        <f aca="true">IF(ISNUMBER(O164),O164-TODAY(),"")</f>
        <v/>
      </c>
      <c r="Q164" s="7" t="s">
        <v>179</v>
      </c>
      <c r="R164" s="36" t="n">
        <v>1000</v>
      </c>
      <c r="S164" s="36" t="n">
        <v>1400</v>
      </c>
      <c r="T164" s="37" t="n">
        <f aca="false">IF(R164="","",AVERAGE(R164,S164))</f>
        <v>1200</v>
      </c>
      <c r="U164" s="7" t="s">
        <v>547</v>
      </c>
      <c r="V164" s="38" t="s">
        <v>517</v>
      </c>
      <c r="W164" s="38" t="n">
        <v>1.5</v>
      </c>
      <c r="X164" s="38" t="n">
        <v>4.2</v>
      </c>
      <c r="Y164" s="35" t="n">
        <f aca="false">ROUND(0.6*W164+0.4*X164,1)</f>
        <v>2.6</v>
      </c>
      <c r="Z164" s="38" t="s">
        <v>518</v>
      </c>
      <c r="AA164" s="38" t="n">
        <v>1</v>
      </c>
      <c r="AB164" s="39" t="n">
        <f aca="false">1-AA164*(1-INDEX('Perfil e pressupostos'!$C$14:$C$20,MATCH(Z164,'Perfil e pressupostos'!$A$14:$A$20,0)))</f>
        <v>1</v>
      </c>
      <c r="AC164" s="38" t="n">
        <v>0.9</v>
      </c>
      <c r="AD164" s="38" t="n">
        <v>1</v>
      </c>
      <c r="AE164" s="38" t="n">
        <v>0.7</v>
      </c>
      <c r="AF164" s="40" t="n">
        <f aca="false">100*('Perfil e pressupostos'!$F$14*AB164+'Perfil e pressupostos'!$F$15*AC164+'Perfil e pressupostos'!$F$16*AD164+'Perfil e pressupostos'!$F$17*AE164)/'Perfil e pressupostos'!$F$18</f>
        <v>92.5</v>
      </c>
      <c r="AG164" s="41" t="n">
        <f aca="false">INDEX('Perfil e pressupostos'!$B$25:$B$28,MATCH(V164,'Perfil e pressupostos'!$A$25:$A$28,0))</f>
        <v>0.12</v>
      </c>
      <c r="AH164" s="41" t="n">
        <f aca="false">MIN('Perfil e pressupostos'!$F$29,AG164*('Perfil e pressupostos'!$F$25+'Perfil e pressupostos'!$F$26*AF164/100)*IF(AD164&lt;='Perfil e pressupostos'!$F$28,'Perfil e pressupostos'!$F$27,1))</f>
        <v>0.1812</v>
      </c>
      <c r="AI164" s="35" t="str">
        <f aca="false">IF(AQ164=0,"—",IF(AH164&gt;='Perfil e pressupostos'!$F$30,"Boa",IF(AH164&gt;='Perfil e pressupostos'!$F$31,"Média","Baixa")))</f>
        <v>Boa</v>
      </c>
      <c r="AJ164" s="7" t="s">
        <v>519</v>
      </c>
      <c r="AK164" s="7" t="s">
        <v>215</v>
      </c>
      <c r="AL164" s="35" t="str">
        <f aca="false">IF(AK164="Prazo expirado","Prazo passado",IF(LEFT(AK164,11)="Monitorizar","Monitorizar",IF(Y164&gt;=3.5,"Prioridade",IF(Y164&gt;=3,"Candidatar (reach)","Reserva"))))</f>
        <v>Reserva</v>
      </c>
      <c r="AM164" s="7" t="s">
        <v>937</v>
      </c>
      <c r="AN164" s="42" t="s">
        <v>938</v>
      </c>
      <c r="AO164" s="7" t="s">
        <v>295</v>
      </c>
      <c r="AP164" s="7" t="s">
        <v>218</v>
      </c>
      <c r="AQ164" s="7" t="n">
        <f aca="false">IF(OR(AK164="Prazo expirado",LEFT(AK164,11)="Monitorizar"),0,1)</f>
        <v>1</v>
      </c>
      <c r="AR164" s="41" t="n">
        <f aca="false">IF(AQ164=0,0,AH164)</f>
        <v>0.1812</v>
      </c>
      <c r="AS164" s="41" t="n">
        <f aca="false">AR164*W164/5</f>
        <v>0.05436</v>
      </c>
      <c r="AT164" s="43" t="n">
        <f aca="false">AS164+W164/1000000+(1000-ROW())/1000000000</f>
        <v>0.054362336</v>
      </c>
      <c r="AU164" s="35" t="n">
        <f aca="false">RANK(AT164,$AT$4:$AT$227)</f>
        <v>35</v>
      </c>
      <c r="AV164" s="40" t="n">
        <f aca="false">IF(AQ164=0,"",AF164)</f>
        <v>92.5</v>
      </c>
      <c r="AW164" s="41" t="n">
        <f aca="false">IF(AQ164=0,"",AH164)</f>
        <v>0.1812</v>
      </c>
    </row>
    <row r="165" customFormat="false" ht="45" hidden="false" customHeight="true" outlineLevel="0" collapsed="false">
      <c r="A165" s="35" t="n">
        <v>162</v>
      </c>
      <c r="B165" s="7" t="s">
        <v>939</v>
      </c>
      <c r="C165" s="7" t="s">
        <v>940</v>
      </c>
      <c r="D165" s="7" t="s">
        <v>941</v>
      </c>
      <c r="E165" s="7" t="s">
        <v>942</v>
      </c>
      <c r="F165" s="35" t="s">
        <v>89</v>
      </c>
      <c r="G165" s="7" t="s">
        <v>311</v>
      </c>
      <c r="H165" s="7" t="s">
        <v>172</v>
      </c>
      <c r="I165" s="7" t="s">
        <v>943</v>
      </c>
      <c r="J165" s="35" t="s">
        <v>207</v>
      </c>
      <c r="K165" s="7" t="s">
        <v>929</v>
      </c>
      <c r="L165" s="7" t="s">
        <v>930</v>
      </c>
      <c r="M165" s="7" t="s">
        <v>576</v>
      </c>
      <c r="N165" s="7" t="s">
        <v>342</v>
      </c>
      <c r="O165" s="44" t="n">
        <v>46320</v>
      </c>
      <c r="P165" s="35" t="n">
        <f aca="true">IF(ISNUMBER(O165),O165-TODAY(),"")</f>
        <v>8</v>
      </c>
      <c r="Q165" s="7" t="s">
        <v>179</v>
      </c>
      <c r="R165" s="36" t="n">
        <v>1000</v>
      </c>
      <c r="S165" s="36" t="n">
        <v>1400</v>
      </c>
      <c r="T165" s="37" t="n">
        <f aca="false">IF(R165="","",AVERAGE(R165,S165))</f>
        <v>1200</v>
      </c>
      <c r="U165" s="7" t="s">
        <v>547</v>
      </c>
      <c r="V165" s="38" t="s">
        <v>199</v>
      </c>
      <c r="W165" s="38" t="n">
        <v>3</v>
      </c>
      <c r="X165" s="38" t="n">
        <v>3.1</v>
      </c>
      <c r="Y165" s="35" t="n">
        <f aca="false">ROUND(0.6*W165+0.4*X165,1)</f>
        <v>3</v>
      </c>
      <c r="Z165" s="38" t="s">
        <v>182</v>
      </c>
      <c r="AA165" s="38" t="n">
        <v>1</v>
      </c>
      <c r="AB165" s="39" t="n">
        <f aca="false">1-AA165*(1-INDEX('Perfil e pressupostos'!$C$14:$C$20,MATCH(Z165,'Perfil e pressupostos'!$A$14:$A$20,0)))</f>
        <v>0.95</v>
      </c>
      <c r="AC165" s="38" t="n">
        <v>0.7</v>
      </c>
      <c r="AD165" s="38" t="n">
        <v>1</v>
      </c>
      <c r="AE165" s="38" t="n">
        <v>0.8</v>
      </c>
      <c r="AF165" s="40" t="n">
        <f aca="false">100*('Perfil e pressupostos'!$F$14*AB165+'Perfil e pressupostos'!$F$15*AC165+'Perfil e pressupostos'!$F$16*AD165+'Perfil e pressupostos'!$F$17*AE165)/'Perfil e pressupostos'!$F$18</f>
        <v>86.5</v>
      </c>
      <c r="AG165" s="41" t="n">
        <f aca="false">INDEX('Perfil e pressupostos'!$B$25:$B$28,MATCH(V165,'Perfil e pressupostos'!$A$25:$A$28,0))</f>
        <v>0.03</v>
      </c>
      <c r="AH165" s="41" t="n">
        <f aca="false">MIN('Perfil e pressupostos'!$F$29,AG165*('Perfil e pressupostos'!$F$25+'Perfil e pressupostos'!$F$26*AF165/100)*IF(AD165&lt;='Perfil e pressupostos'!$F$28,'Perfil e pressupostos'!$F$27,1))</f>
        <v>0.04314</v>
      </c>
      <c r="AI165" s="35" t="str">
        <f aca="false">IF(AQ165=0,"—",IF(AH165&gt;='Perfil e pressupostos'!$F$30,"Boa",IF(AH165&gt;='Perfil e pressupostos'!$F$31,"Média","Baixa")))</f>
        <v>Média</v>
      </c>
      <c r="AJ165" s="7" t="s">
        <v>319</v>
      </c>
      <c r="AK165" s="7" t="s">
        <v>306</v>
      </c>
      <c r="AL165" s="35" t="str">
        <f aca="false">IF(AK165="Prazo expirado","Prazo passado",IF(LEFT(AK165,11)="Monitorizar","Monitorizar",IF(Y165&gt;=3.5,"Prioridade",IF(Y165&gt;=3,"Candidatar (reach)","Reserva"))))</f>
        <v>Candidatar (reach)</v>
      </c>
      <c r="AM165" s="7" t="s">
        <v>548</v>
      </c>
      <c r="AN165" s="42" t="s">
        <v>944</v>
      </c>
      <c r="AO165" s="7" t="s">
        <v>187</v>
      </c>
      <c r="AP165" s="7" t="s">
        <v>218</v>
      </c>
      <c r="AQ165" s="7" t="n">
        <f aca="false">IF(OR(AK165="Prazo expirado",LEFT(AK165,11)="Monitorizar"),0,1)</f>
        <v>1</v>
      </c>
      <c r="AR165" s="41" t="n">
        <f aca="false">IF(AQ165=0,0,AH165)</f>
        <v>0.04314</v>
      </c>
      <c r="AS165" s="41" t="n">
        <f aca="false">AR165*W165/5</f>
        <v>0.025884</v>
      </c>
      <c r="AT165" s="43" t="n">
        <f aca="false">AS165+W165/1000000+(1000-ROW())/1000000000</f>
        <v>0.025887835</v>
      </c>
      <c r="AU165" s="35" t="n">
        <f aca="false">RANK(AT165,$AT$4:$AT$227)</f>
        <v>57</v>
      </c>
      <c r="AV165" s="40" t="n">
        <f aca="false">IF(AQ165=0,"",AF165)</f>
        <v>86.5</v>
      </c>
      <c r="AW165" s="41" t="n">
        <f aca="false">IF(AQ165=0,"",AH165)</f>
        <v>0.04314</v>
      </c>
    </row>
    <row r="166" customFormat="false" ht="45" hidden="false" customHeight="true" outlineLevel="0" collapsed="false">
      <c r="A166" s="35" t="n">
        <v>163</v>
      </c>
      <c r="B166" s="7" t="s">
        <v>945</v>
      </c>
      <c r="C166" s="7" t="s">
        <v>946</v>
      </c>
      <c r="D166" s="7" t="s">
        <v>947</v>
      </c>
      <c r="E166" s="7" t="s">
        <v>942</v>
      </c>
      <c r="F166" s="35" t="s">
        <v>89</v>
      </c>
      <c r="G166" s="7" t="s">
        <v>311</v>
      </c>
      <c r="H166" s="7" t="s">
        <v>172</v>
      </c>
      <c r="I166" s="7" t="s">
        <v>179</v>
      </c>
      <c r="J166" s="35" t="s">
        <v>207</v>
      </c>
      <c r="K166" s="7" t="s">
        <v>948</v>
      </c>
      <c r="L166" s="7" t="s">
        <v>949</v>
      </c>
      <c r="M166" s="7" t="s">
        <v>950</v>
      </c>
      <c r="N166" s="7" t="s">
        <v>951</v>
      </c>
      <c r="O166" s="7" t="s">
        <v>179</v>
      </c>
      <c r="P166" s="35" t="str">
        <f aca="true">IF(ISNUMBER(O166),O166-TODAY(),"")</f>
        <v/>
      </c>
      <c r="Q166" s="7" t="s">
        <v>179</v>
      </c>
      <c r="R166" s="36" t="n">
        <v>1200</v>
      </c>
      <c r="S166" s="36" t="n">
        <v>1600</v>
      </c>
      <c r="T166" s="37" t="n">
        <f aca="false">IF(R166="","",AVERAGE(R166,S166))</f>
        <v>1400</v>
      </c>
      <c r="U166" s="7" t="s">
        <v>547</v>
      </c>
      <c r="V166" s="38" t="s">
        <v>199</v>
      </c>
      <c r="W166" s="38" t="n">
        <v>2</v>
      </c>
      <c r="X166" s="38" t="n">
        <v>2.8</v>
      </c>
      <c r="Y166" s="35" t="n">
        <f aca="false">ROUND(0.6*W166+0.4*X166,1)</f>
        <v>2.3</v>
      </c>
      <c r="Z166" s="38" t="s">
        <v>518</v>
      </c>
      <c r="AA166" s="38" t="n">
        <v>0.3</v>
      </c>
      <c r="AB166" s="39" t="n">
        <f aca="false">1-AA166*(1-INDEX('Perfil e pressupostos'!$C$14:$C$20,MATCH(Z166,'Perfil e pressupostos'!$A$14:$A$20,0)))</f>
        <v>1</v>
      </c>
      <c r="AC166" s="38" t="n">
        <v>0.8</v>
      </c>
      <c r="AD166" s="38" t="n">
        <v>0.7</v>
      </c>
      <c r="AE166" s="38" t="n">
        <v>0.7</v>
      </c>
      <c r="AF166" s="40" t="n">
        <f aca="false">100*('Perfil e pressupostos'!$F$14*AB166+'Perfil e pressupostos'!$F$15*AC166+'Perfil e pressupostos'!$F$16*AD166+'Perfil e pressupostos'!$F$17*AE166)/'Perfil e pressupostos'!$F$18</f>
        <v>82</v>
      </c>
      <c r="AG166" s="41" t="n">
        <f aca="false">INDEX('Perfil e pressupostos'!$B$25:$B$28,MATCH(V166,'Perfil e pressupostos'!$A$25:$A$28,0))</f>
        <v>0.03</v>
      </c>
      <c r="AH166" s="41" t="n">
        <f aca="false">MIN('Perfil e pressupostos'!$F$29,AG166*('Perfil e pressupostos'!$F$25+'Perfil e pressupostos'!$F$26*AF166/100)*IF(AD166&lt;='Perfil e pressupostos'!$F$28,'Perfil e pressupostos'!$F$27,1))</f>
        <v>0.04152</v>
      </c>
      <c r="AI166" s="35" t="str">
        <f aca="false">IF(AQ166=0,"—",IF(AH166&gt;='Perfil e pressupostos'!$F$30,"Boa",IF(AH166&gt;='Perfil e pressupostos'!$F$31,"Média","Baixa")))</f>
        <v>Média</v>
      </c>
      <c r="AJ166" s="7" t="s">
        <v>952</v>
      </c>
      <c r="AK166" s="7" t="s">
        <v>184</v>
      </c>
      <c r="AL166" s="35" t="str">
        <f aca="false">IF(AK166="Prazo expirado","Prazo passado",IF(LEFT(AK166,11)="Monitorizar","Monitorizar",IF(Y166&gt;=3.5,"Prioridade",IF(Y166&gt;=3,"Candidatar (reach)","Reserva"))))</f>
        <v>Reserva</v>
      </c>
      <c r="AM166" s="7" t="s">
        <v>953</v>
      </c>
      <c r="AN166" s="42" t="s">
        <v>954</v>
      </c>
      <c r="AO166" s="7" t="s">
        <v>187</v>
      </c>
      <c r="AP166" s="7" t="s">
        <v>218</v>
      </c>
      <c r="AQ166" s="7" t="n">
        <f aca="false">IF(OR(AK166="Prazo expirado",LEFT(AK166,11)="Monitorizar"),0,1)</f>
        <v>1</v>
      </c>
      <c r="AR166" s="41" t="n">
        <f aca="false">IF(AQ166=0,0,AH166)</f>
        <v>0.04152</v>
      </c>
      <c r="AS166" s="41" t="n">
        <f aca="false">AR166*W166/5</f>
        <v>0.016608</v>
      </c>
      <c r="AT166" s="43" t="n">
        <f aca="false">AS166+W166/1000000+(1000-ROW())/1000000000</f>
        <v>0.016610834</v>
      </c>
      <c r="AU166" s="35" t="n">
        <f aca="false">RANK(AT166,$AT$4:$AT$227)</f>
        <v>91</v>
      </c>
      <c r="AV166" s="40" t="n">
        <f aca="false">IF(AQ166=0,"",AF166)</f>
        <v>82</v>
      </c>
      <c r="AW166" s="41" t="n">
        <f aca="false">IF(AQ166=0,"",AH166)</f>
        <v>0.04152</v>
      </c>
    </row>
    <row r="167" customFormat="false" ht="45" hidden="false" customHeight="true" outlineLevel="0" collapsed="false">
      <c r="A167" s="35" t="n">
        <v>164</v>
      </c>
      <c r="B167" s="7" t="s">
        <v>955</v>
      </c>
      <c r="C167" s="7" t="s">
        <v>956</v>
      </c>
      <c r="D167" s="7" t="s">
        <v>947</v>
      </c>
      <c r="E167" s="7" t="s">
        <v>942</v>
      </c>
      <c r="F167" s="35" t="s">
        <v>89</v>
      </c>
      <c r="G167" s="7" t="s">
        <v>311</v>
      </c>
      <c r="H167" s="7" t="s">
        <v>172</v>
      </c>
      <c r="I167" s="7" t="s">
        <v>179</v>
      </c>
      <c r="J167" s="35" t="s">
        <v>207</v>
      </c>
      <c r="K167" s="7" t="s">
        <v>957</v>
      </c>
      <c r="L167" s="7" t="s">
        <v>958</v>
      </c>
      <c r="M167" s="7" t="s">
        <v>959</v>
      </c>
      <c r="N167" s="7" t="s">
        <v>960</v>
      </c>
      <c r="O167" s="7" t="s">
        <v>179</v>
      </c>
      <c r="P167" s="35" t="str">
        <f aca="true">IF(ISNUMBER(O167),O167-TODAY(),"")</f>
        <v/>
      </c>
      <c r="Q167" s="7" t="s">
        <v>179</v>
      </c>
      <c r="R167" s="36" t="n">
        <v>1200</v>
      </c>
      <c r="S167" s="36" t="n">
        <v>1600</v>
      </c>
      <c r="T167" s="37" t="n">
        <f aca="false">IF(R167="","",AVERAGE(R167,S167))</f>
        <v>1400</v>
      </c>
      <c r="U167" s="7" t="s">
        <v>547</v>
      </c>
      <c r="V167" s="38" t="s">
        <v>318</v>
      </c>
      <c r="W167" s="38" t="n">
        <v>2</v>
      </c>
      <c r="X167" s="38" t="n">
        <v>4</v>
      </c>
      <c r="Y167" s="35" t="n">
        <f aca="false">ROUND(0.6*W167+0.4*X167,1)</f>
        <v>2.8</v>
      </c>
      <c r="Z167" s="38" t="s">
        <v>518</v>
      </c>
      <c r="AA167" s="38" t="n">
        <v>0.3</v>
      </c>
      <c r="AB167" s="39" t="n">
        <f aca="false">1-AA167*(1-INDEX('Perfil e pressupostos'!$C$14:$C$20,MATCH(Z167,'Perfil e pressupostos'!$A$14:$A$20,0)))</f>
        <v>1</v>
      </c>
      <c r="AC167" s="38" t="n">
        <v>0.8</v>
      </c>
      <c r="AD167" s="38" t="n">
        <v>1</v>
      </c>
      <c r="AE167" s="38" t="n">
        <v>0.8</v>
      </c>
      <c r="AF167" s="40" t="n">
        <f aca="false">100*('Perfil e pressupostos'!$F$14*AB167+'Perfil e pressupostos'!$F$15*AC167+'Perfil e pressupostos'!$F$16*AD167+'Perfil e pressupostos'!$F$17*AE167)/'Perfil e pressupostos'!$F$18</f>
        <v>91</v>
      </c>
      <c r="AG167" s="41" t="n">
        <f aca="false">INDEX('Perfil e pressupostos'!$B$25:$B$28,MATCH(V167,'Perfil e pressupostos'!$A$25:$A$28,0))</f>
        <v>0.08</v>
      </c>
      <c r="AH167" s="41" t="n">
        <f aca="false">MIN('Perfil e pressupostos'!$F$29,AG167*('Perfil e pressupostos'!$F$25+'Perfil e pressupostos'!$F$26*AF167/100)*IF(AD167&lt;='Perfil e pressupostos'!$F$28,'Perfil e pressupostos'!$F$27,1))</f>
        <v>0.11936</v>
      </c>
      <c r="AI167" s="35" t="str">
        <f aca="false">IF(AQ167=0,"—",IF(AH167&gt;='Perfil e pressupostos'!$F$30,"Boa",IF(AH167&gt;='Perfil e pressupostos'!$F$31,"Média","Baixa")))</f>
        <v>Boa</v>
      </c>
      <c r="AJ167" s="7" t="s">
        <v>961</v>
      </c>
      <c r="AK167" s="7" t="s">
        <v>184</v>
      </c>
      <c r="AL167" s="35" t="str">
        <f aca="false">IF(AK167="Prazo expirado","Prazo passado",IF(LEFT(AK167,11)="Monitorizar","Monitorizar",IF(Y167&gt;=3.5,"Prioridade",IF(Y167&gt;=3,"Candidatar (reach)","Reserva"))))</f>
        <v>Reserva</v>
      </c>
      <c r="AM167" s="7" t="s">
        <v>548</v>
      </c>
      <c r="AN167" s="42" t="s">
        <v>962</v>
      </c>
      <c r="AO167" s="7" t="s">
        <v>187</v>
      </c>
      <c r="AP167" s="7" t="s">
        <v>218</v>
      </c>
      <c r="AQ167" s="7" t="n">
        <f aca="false">IF(OR(AK167="Prazo expirado",LEFT(AK167,11)="Monitorizar"),0,1)</f>
        <v>1</v>
      </c>
      <c r="AR167" s="41" t="n">
        <f aca="false">IF(AQ167=0,0,AH167)</f>
        <v>0.11936</v>
      </c>
      <c r="AS167" s="41" t="n">
        <f aca="false">AR167*W167/5</f>
        <v>0.047744</v>
      </c>
      <c r="AT167" s="43" t="n">
        <f aca="false">AS167+W167/1000000+(1000-ROW())/1000000000</f>
        <v>0.047746833</v>
      </c>
      <c r="AU167" s="35" t="n">
        <f aca="false">RANK(AT167,$AT$4:$AT$227)</f>
        <v>41</v>
      </c>
      <c r="AV167" s="40" t="n">
        <f aca="false">IF(AQ167=0,"",AF167)</f>
        <v>91</v>
      </c>
      <c r="AW167" s="41" t="n">
        <f aca="false">IF(AQ167=0,"",AH167)</f>
        <v>0.11936</v>
      </c>
    </row>
    <row r="168" customFormat="false" ht="33.75" hidden="false" customHeight="true" outlineLevel="0" collapsed="false">
      <c r="A168" s="35" t="n">
        <v>165</v>
      </c>
      <c r="B168" s="7" t="s">
        <v>963</v>
      </c>
      <c r="C168" s="7" t="s">
        <v>964</v>
      </c>
      <c r="D168" s="7" t="s">
        <v>947</v>
      </c>
      <c r="E168" s="7" t="s">
        <v>942</v>
      </c>
      <c r="F168" s="35" t="s">
        <v>89</v>
      </c>
      <c r="G168" s="7" t="s">
        <v>311</v>
      </c>
      <c r="H168" s="7" t="s">
        <v>172</v>
      </c>
      <c r="I168" s="7" t="s">
        <v>173</v>
      </c>
      <c r="J168" s="35" t="s">
        <v>965</v>
      </c>
      <c r="K168" s="7" t="s">
        <v>966</v>
      </c>
      <c r="L168" s="7" t="s">
        <v>967</v>
      </c>
      <c r="M168" s="7" t="s">
        <v>525</v>
      </c>
      <c r="N168" s="7" t="s">
        <v>968</v>
      </c>
      <c r="O168" s="7" t="s">
        <v>179</v>
      </c>
      <c r="P168" s="35" t="str">
        <f aca="true">IF(ISNUMBER(O168),O168-TODAY(),"")</f>
        <v/>
      </c>
      <c r="Q168" s="7" t="s">
        <v>179</v>
      </c>
      <c r="R168" s="36" t="n">
        <v>1100</v>
      </c>
      <c r="S168" s="36" t="n">
        <v>1400</v>
      </c>
      <c r="T168" s="37" t="n">
        <f aca="false">IF(R168="","",AVERAGE(R168,S168))</f>
        <v>1250</v>
      </c>
      <c r="U168" s="7" t="s">
        <v>547</v>
      </c>
      <c r="V168" s="38" t="s">
        <v>517</v>
      </c>
      <c r="W168" s="38" t="n">
        <v>1.5</v>
      </c>
      <c r="X168" s="38" t="n">
        <v>3.9</v>
      </c>
      <c r="Y168" s="35" t="n">
        <f aca="false">ROUND(0.6*W168+0.4*X168,1)</f>
        <v>2.5</v>
      </c>
      <c r="Z168" s="38" t="s">
        <v>518</v>
      </c>
      <c r="AA168" s="38" t="n">
        <v>0.3</v>
      </c>
      <c r="AB168" s="39" t="n">
        <f aca="false">1-AA168*(1-INDEX('Perfil e pressupostos'!$C$14:$C$20,MATCH(Z168,'Perfil e pressupostos'!$A$14:$A$20,0)))</f>
        <v>1</v>
      </c>
      <c r="AC168" s="38" t="n">
        <v>0.9</v>
      </c>
      <c r="AD168" s="38" t="n">
        <v>0.9</v>
      </c>
      <c r="AE168" s="38" t="n">
        <v>0.7</v>
      </c>
      <c r="AF168" s="40" t="n">
        <f aca="false">100*('Perfil e pressupostos'!$F$14*AB168+'Perfil e pressupostos'!$F$15*AC168+'Perfil e pressupostos'!$F$16*AD168+'Perfil e pressupostos'!$F$17*AE168)/'Perfil e pressupostos'!$F$18</f>
        <v>90</v>
      </c>
      <c r="AG168" s="41" t="n">
        <f aca="false">INDEX('Perfil e pressupostos'!$B$25:$B$28,MATCH(V168,'Perfil e pressupostos'!$A$25:$A$28,0))</f>
        <v>0.12</v>
      </c>
      <c r="AH168" s="41" t="n">
        <f aca="false">MIN('Perfil e pressupostos'!$F$29,AG168*('Perfil e pressupostos'!$F$25+'Perfil e pressupostos'!$F$26*AF168/100)*IF(AD168&lt;='Perfil e pressupostos'!$F$28,'Perfil e pressupostos'!$F$27,1))</f>
        <v>0.1776</v>
      </c>
      <c r="AI168" s="35" t="str">
        <f aca="false">IF(AQ168=0,"—",IF(AH168&gt;='Perfil e pressupostos'!$F$30,"Boa",IF(AH168&gt;='Perfil e pressupostos'!$F$31,"Média","Baixa")))</f>
        <v>Boa</v>
      </c>
      <c r="AJ168" s="7" t="s">
        <v>961</v>
      </c>
      <c r="AK168" s="7" t="s">
        <v>184</v>
      </c>
      <c r="AL168" s="35" t="str">
        <f aca="false">IF(AK168="Prazo expirado","Prazo passado",IF(LEFT(AK168,11)="Monitorizar","Monitorizar",IF(Y168&gt;=3.5,"Prioridade",IF(Y168&gt;=3,"Candidatar (reach)","Reserva"))))</f>
        <v>Reserva</v>
      </c>
      <c r="AM168" s="7" t="s">
        <v>969</v>
      </c>
      <c r="AN168" s="42" t="s">
        <v>970</v>
      </c>
      <c r="AO168" s="7" t="s">
        <v>187</v>
      </c>
      <c r="AP168" s="7" t="s">
        <v>218</v>
      </c>
      <c r="AQ168" s="7" t="n">
        <f aca="false">IF(OR(AK168="Prazo expirado",LEFT(AK168,11)="Monitorizar"),0,1)</f>
        <v>1</v>
      </c>
      <c r="AR168" s="41" t="n">
        <f aca="false">IF(AQ168=0,0,AH168)</f>
        <v>0.1776</v>
      </c>
      <c r="AS168" s="41" t="n">
        <f aca="false">AR168*W168/5</f>
        <v>0.05328</v>
      </c>
      <c r="AT168" s="43" t="n">
        <f aca="false">AS168+W168/1000000+(1000-ROW())/1000000000</f>
        <v>0.053282332</v>
      </c>
      <c r="AU168" s="35" t="n">
        <f aca="false">RANK(AT168,$AT$4:$AT$227)</f>
        <v>39</v>
      </c>
      <c r="AV168" s="40" t="n">
        <f aca="false">IF(AQ168=0,"",AF168)</f>
        <v>90</v>
      </c>
      <c r="AW168" s="41" t="n">
        <f aca="false">IF(AQ168=0,"",AH168)</f>
        <v>0.1776</v>
      </c>
    </row>
    <row r="169" customFormat="false" ht="33.75" hidden="false" customHeight="true" outlineLevel="0" collapsed="false">
      <c r="A169" s="35" t="n">
        <v>166</v>
      </c>
      <c r="B169" s="7" t="s">
        <v>971</v>
      </c>
      <c r="C169" s="7" t="s">
        <v>972</v>
      </c>
      <c r="D169" s="7" t="s">
        <v>947</v>
      </c>
      <c r="E169" s="7" t="s">
        <v>942</v>
      </c>
      <c r="F169" s="35" t="s">
        <v>89</v>
      </c>
      <c r="G169" s="7" t="s">
        <v>311</v>
      </c>
      <c r="H169" s="7" t="s">
        <v>172</v>
      </c>
      <c r="I169" s="7" t="s">
        <v>179</v>
      </c>
      <c r="J169" s="35" t="s">
        <v>965</v>
      </c>
      <c r="K169" s="7" t="s">
        <v>973</v>
      </c>
      <c r="L169" s="7" t="s">
        <v>974</v>
      </c>
      <c r="M169" s="7" t="s">
        <v>576</v>
      </c>
      <c r="N169" s="7" t="s">
        <v>975</v>
      </c>
      <c r="O169" s="7" t="s">
        <v>179</v>
      </c>
      <c r="P169" s="35" t="str">
        <f aca="true">IF(ISNUMBER(O169),O169-TODAY(),"")</f>
        <v/>
      </c>
      <c r="Q169" s="7" t="s">
        <v>179</v>
      </c>
      <c r="R169" s="36" t="n">
        <v>1100</v>
      </c>
      <c r="S169" s="36" t="n">
        <v>1500</v>
      </c>
      <c r="T169" s="37" t="n">
        <f aca="false">IF(R169="","",AVERAGE(R169,S169))</f>
        <v>1300</v>
      </c>
      <c r="U169" s="7" t="s">
        <v>547</v>
      </c>
      <c r="V169" s="38" t="s">
        <v>199</v>
      </c>
      <c r="W169" s="38" t="n">
        <v>2</v>
      </c>
      <c r="X169" s="38" t="n">
        <v>3.5</v>
      </c>
      <c r="Y169" s="35" t="n">
        <f aca="false">ROUND(0.6*W169+0.4*X169,1)</f>
        <v>2.6</v>
      </c>
      <c r="Z169" s="38" t="s">
        <v>518</v>
      </c>
      <c r="AA169" s="38" t="n">
        <v>0.3</v>
      </c>
      <c r="AB169" s="39" t="n">
        <f aca="false">1-AA169*(1-INDEX('Perfil e pressupostos'!$C$14:$C$20,MATCH(Z169,'Perfil e pressupostos'!$A$14:$A$20,0)))</f>
        <v>1</v>
      </c>
      <c r="AC169" s="38" t="n">
        <v>0.9</v>
      </c>
      <c r="AD169" s="38" t="n">
        <v>1</v>
      </c>
      <c r="AE169" s="38" t="n">
        <v>0.7</v>
      </c>
      <c r="AF169" s="40" t="n">
        <f aca="false">100*('Perfil e pressupostos'!$F$14*AB169+'Perfil e pressupostos'!$F$15*AC169+'Perfil e pressupostos'!$F$16*AD169+'Perfil e pressupostos'!$F$17*AE169)/'Perfil e pressupostos'!$F$18</f>
        <v>92.5</v>
      </c>
      <c r="AG169" s="41" t="n">
        <f aca="false">INDEX('Perfil e pressupostos'!$B$25:$B$28,MATCH(V169,'Perfil e pressupostos'!$A$25:$A$28,0))</f>
        <v>0.03</v>
      </c>
      <c r="AH169" s="41" t="n">
        <f aca="false">MIN('Perfil e pressupostos'!$F$29,AG169*('Perfil e pressupostos'!$F$25+'Perfil e pressupostos'!$F$26*AF169/100)*IF(AD169&lt;='Perfil e pressupostos'!$F$28,'Perfil e pressupostos'!$F$27,1))</f>
        <v>0.0453</v>
      </c>
      <c r="AI169" s="35" t="str">
        <f aca="false">IF(AQ169=0,"—",IF(AH169&gt;='Perfil e pressupostos'!$F$30,"Boa",IF(AH169&gt;='Perfil e pressupostos'!$F$31,"Média","Baixa")))</f>
        <v>Média</v>
      </c>
      <c r="AJ169" s="7" t="s">
        <v>961</v>
      </c>
      <c r="AK169" s="7" t="s">
        <v>215</v>
      </c>
      <c r="AL169" s="35" t="str">
        <f aca="false">IF(AK169="Prazo expirado","Prazo passado",IF(LEFT(AK169,11)="Monitorizar","Monitorizar",IF(Y169&gt;=3.5,"Prioridade",IF(Y169&gt;=3,"Candidatar (reach)","Reserva"))))</f>
        <v>Reserva</v>
      </c>
      <c r="AM169" s="7" t="s">
        <v>976</v>
      </c>
      <c r="AN169" s="42" t="s">
        <v>977</v>
      </c>
      <c r="AO169" s="7" t="s">
        <v>295</v>
      </c>
      <c r="AP169" s="7" t="s">
        <v>218</v>
      </c>
      <c r="AQ169" s="7" t="n">
        <f aca="false">IF(OR(AK169="Prazo expirado",LEFT(AK169,11)="Monitorizar"),0,1)</f>
        <v>1</v>
      </c>
      <c r="AR169" s="41" t="n">
        <f aca="false">IF(AQ169=0,0,AH169)</f>
        <v>0.0453</v>
      </c>
      <c r="AS169" s="41" t="n">
        <f aca="false">AR169*W169/5</f>
        <v>0.01812</v>
      </c>
      <c r="AT169" s="43" t="n">
        <f aca="false">AS169+W169/1000000+(1000-ROW())/1000000000</f>
        <v>0.018122831</v>
      </c>
      <c r="AU169" s="35" t="n">
        <f aca="false">RANK(AT169,$AT$4:$AT$227)</f>
        <v>86</v>
      </c>
      <c r="AV169" s="40" t="n">
        <f aca="false">IF(AQ169=0,"",AF169)</f>
        <v>92.5</v>
      </c>
      <c r="AW169" s="41" t="n">
        <f aca="false">IF(AQ169=0,"",AH169)</f>
        <v>0.0453</v>
      </c>
    </row>
    <row r="170" customFormat="false" ht="33.75" hidden="false" customHeight="true" outlineLevel="0" collapsed="false">
      <c r="A170" s="35" t="n">
        <v>167</v>
      </c>
      <c r="B170" s="7" t="s">
        <v>978</v>
      </c>
      <c r="C170" s="7" t="s">
        <v>979</v>
      </c>
      <c r="D170" s="7" t="s">
        <v>947</v>
      </c>
      <c r="E170" s="7" t="s">
        <v>942</v>
      </c>
      <c r="F170" s="35" t="s">
        <v>89</v>
      </c>
      <c r="G170" s="7" t="s">
        <v>311</v>
      </c>
      <c r="H170" s="7" t="s">
        <v>172</v>
      </c>
      <c r="I170" s="7" t="s">
        <v>179</v>
      </c>
      <c r="J170" s="35" t="s">
        <v>174</v>
      </c>
      <c r="K170" s="7" t="s">
        <v>980</v>
      </c>
      <c r="L170" s="7" t="s">
        <v>981</v>
      </c>
      <c r="M170" s="7" t="s">
        <v>576</v>
      </c>
      <c r="N170" s="7" t="s">
        <v>982</v>
      </c>
      <c r="O170" s="7" t="s">
        <v>179</v>
      </c>
      <c r="P170" s="35" t="str">
        <f aca="true">IF(ISNUMBER(O170),O170-TODAY(),"")</f>
        <v/>
      </c>
      <c r="Q170" s="7" t="s">
        <v>179</v>
      </c>
      <c r="R170" s="36" t="n">
        <v>1000</v>
      </c>
      <c r="S170" s="36" t="n">
        <v>1250</v>
      </c>
      <c r="T170" s="37" t="n">
        <f aca="false">IF(R170="","",AVERAGE(R170,S170))</f>
        <v>1125</v>
      </c>
      <c r="U170" s="7" t="s">
        <v>547</v>
      </c>
      <c r="V170" s="38" t="s">
        <v>517</v>
      </c>
      <c r="W170" s="38" t="n">
        <v>1.5</v>
      </c>
      <c r="X170" s="38" t="n">
        <v>4.2</v>
      </c>
      <c r="Y170" s="35" t="n">
        <f aca="false">ROUND(0.6*W170+0.4*X170,1)</f>
        <v>2.6</v>
      </c>
      <c r="Z170" s="38" t="s">
        <v>518</v>
      </c>
      <c r="AA170" s="38" t="n">
        <v>0.3</v>
      </c>
      <c r="AB170" s="39" t="n">
        <f aca="false">1-AA170*(1-INDEX('Perfil e pressupostos'!$C$14:$C$20,MATCH(Z170,'Perfil e pressupostos'!$A$14:$A$20,0)))</f>
        <v>1</v>
      </c>
      <c r="AC170" s="38" t="n">
        <v>0.9</v>
      </c>
      <c r="AD170" s="38" t="n">
        <v>1</v>
      </c>
      <c r="AE170" s="38" t="n">
        <v>0.7</v>
      </c>
      <c r="AF170" s="40" t="n">
        <f aca="false">100*('Perfil e pressupostos'!$F$14*AB170+'Perfil e pressupostos'!$F$15*AC170+'Perfil e pressupostos'!$F$16*AD170+'Perfil e pressupostos'!$F$17*AE170)/'Perfil e pressupostos'!$F$18</f>
        <v>92.5</v>
      </c>
      <c r="AG170" s="41" t="n">
        <f aca="false">INDEX('Perfil e pressupostos'!$B$25:$B$28,MATCH(V170,'Perfil e pressupostos'!$A$25:$A$28,0))</f>
        <v>0.12</v>
      </c>
      <c r="AH170" s="41" t="n">
        <f aca="false">MIN('Perfil e pressupostos'!$F$29,AG170*('Perfil e pressupostos'!$F$25+'Perfil e pressupostos'!$F$26*AF170/100)*IF(AD170&lt;='Perfil e pressupostos'!$F$28,'Perfil e pressupostos'!$F$27,1))</f>
        <v>0.1812</v>
      </c>
      <c r="AI170" s="35" t="str">
        <f aca="false">IF(AQ170=0,"—",IF(AH170&gt;='Perfil e pressupostos'!$F$30,"Boa",IF(AH170&gt;='Perfil e pressupostos'!$F$31,"Média","Baixa")))</f>
        <v>Boa</v>
      </c>
      <c r="AJ170" s="7" t="s">
        <v>961</v>
      </c>
      <c r="AK170" s="7" t="s">
        <v>215</v>
      </c>
      <c r="AL170" s="35" t="str">
        <f aca="false">IF(AK170="Prazo expirado","Prazo passado",IF(LEFT(AK170,11)="Monitorizar","Monitorizar",IF(Y170&gt;=3.5,"Prioridade",IF(Y170&gt;=3,"Candidatar (reach)","Reserva"))))</f>
        <v>Reserva</v>
      </c>
      <c r="AM170" s="7" t="s">
        <v>983</v>
      </c>
      <c r="AN170" s="42" t="s">
        <v>984</v>
      </c>
      <c r="AO170" s="7" t="s">
        <v>187</v>
      </c>
      <c r="AP170" s="7" t="s">
        <v>218</v>
      </c>
      <c r="AQ170" s="7" t="n">
        <f aca="false">IF(OR(AK170="Prazo expirado",LEFT(AK170,11)="Monitorizar"),0,1)</f>
        <v>1</v>
      </c>
      <c r="AR170" s="41" t="n">
        <f aca="false">IF(AQ170=0,0,AH170)</f>
        <v>0.1812</v>
      </c>
      <c r="AS170" s="41" t="n">
        <f aca="false">AR170*W170/5</f>
        <v>0.05436</v>
      </c>
      <c r="AT170" s="43" t="n">
        <f aca="false">AS170+W170/1000000+(1000-ROW())/1000000000</f>
        <v>0.05436233</v>
      </c>
      <c r="AU170" s="35" t="n">
        <f aca="false">RANK(AT170,$AT$4:$AT$227)</f>
        <v>36</v>
      </c>
      <c r="AV170" s="40" t="n">
        <f aca="false">IF(AQ170=0,"",AF170)</f>
        <v>92.5</v>
      </c>
      <c r="AW170" s="41" t="n">
        <f aca="false">IF(AQ170=0,"",AH170)</f>
        <v>0.1812</v>
      </c>
    </row>
    <row r="171" customFormat="false" ht="33.75" hidden="false" customHeight="true" outlineLevel="0" collapsed="false">
      <c r="A171" s="35" t="n">
        <v>168</v>
      </c>
      <c r="B171" s="7" t="s">
        <v>985</v>
      </c>
      <c r="C171" s="7" t="s">
        <v>986</v>
      </c>
      <c r="D171" s="7" t="s">
        <v>947</v>
      </c>
      <c r="E171" s="7" t="s">
        <v>942</v>
      </c>
      <c r="F171" s="35" t="s">
        <v>89</v>
      </c>
      <c r="G171" s="7" t="s">
        <v>311</v>
      </c>
      <c r="H171" s="7" t="s">
        <v>172</v>
      </c>
      <c r="I171" s="7" t="s">
        <v>179</v>
      </c>
      <c r="J171" s="35" t="s">
        <v>987</v>
      </c>
      <c r="K171" s="7" t="s">
        <v>988</v>
      </c>
      <c r="L171" s="7" t="s">
        <v>989</v>
      </c>
      <c r="M171" s="7" t="s">
        <v>576</v>
      </c>
      <c r="N171" s="7" t="s">
        <v>990</v>
      </c>
      <c r="O171" s="7" t="s">
        <v>179</v>
      </c>
      <c r="P171" s="35" t="str">
        <f aca="true">IF(ISNUMBER(O171),O171-TODAY(),"")</f>
        <v/>
      </c>
      <c r="Q171" s="7" t="s">
        <v>179</v>
      </c>
      <c r="R171" s="36" t="n">
        <v>1200</v>
      </c>
      <c r="S171" s="36" t="n">
        <v>1600</v>
      </c>
      <c r="T171" s="37" t="n">
        <f aca="false">IF(R171="","",AVERAGE(R171,S171))</f>
        <v>1400</v>
      </c>
      <c r="U171" s="7" t="s">
        <v>547</v>
      </c>
      <c r="V171" s="38" t="s">
        <v>318</v>
      </c>
      <c r="W171" s="38" t="n">
        <v>1.5</v>
      </c>
      <c r="X171" s="38" t="n">
        <v>4.2</v>
      </c>
      <c r="Y171" s="35" t="n">
        <f aca="false">ROUND(0.6*W171+0.4*X171,1)</f>
        <v>2.6</v>
      </c>
      <c r="Z171" s="38" t="s">
        <v>518</v>
      </c>
      <c r="AA171" s="38" t="n">
        <v>0.3</v>
      </c>
      <c r="AB171" s="39" t="n">
        <f aca="false">1-AA171*(1-INDEX('Perfil e pressupostos'!$C$14:$C$20,MATCH(Z171,'Perfil e pressupostos'!$A$14:$A$20,0)))</f>
        <v>1</v>
      </c>
      <c r="AC171" s="38" t="n">
        <v>0.9</v>
      </c>
      <c r="AD171" s="38" t="n">
        <v>1</v>
      </c>
      <c r="AE171" s="38" t="n">
        <v>0.7</v>
      </c>
      <c r="AF171" s="40" t="n">
        <f aca="false">100*('Perfil e pressupostos'!$F$14*AB171+'Perfil e pressupostos'!$F$15*AC171+'Perfil e pressupostos'!$F$16*AD171+'Perfil e pressupostos'!$F$17*AE171)/'Perfil e pressupostos'!$F$18</f>
        <v>92.5</v>
      </c>
      <c r="AG171" s="41" t="n">
        <f aca="false">INDEX('Perfil e pressupostos'!$B$25:$B$28,MATCH(V171,'Perfil e pressupostos'!$A$25:$A$28,0))</f>
        <v>0.08</v>
      </c>
      <c r="AH171" s="41" t="n">
        <f aca="false">MIN('Perfil e pressupostos'!$F$29,AG171*('Perfil e pressupostos'!$F$25+'Perfil e pressupostos'!$F$26*AF171/100)*IF(AD171&lt;='Perfil e pressupostos'!$F$28,'Perfil e pressupostos'!$F$27,1))</f>
        <v>0.1208</v>
      </c>
      <c r="AI171" s="35" t="str">
        <f aca="false">IF(AQ171=0,"—",IF(AH171&gt;='Perfil e pressupostos'!$F$30,"Boa",IF(AH171&gt;='Perfil e pressupostos'!$F$31,"Média","Baixa")))</f>
        <v>Boa</v>
      </c>
      <c r="AJ171" s="7" t="s">
        <v>961</v>
      </c>
      <c r="AK171" s="7" t="s">
        <v>215</v>
      </c>
      <c r="AL171" s="35" t="str">
        <f aca="false">IF(AK171="Prazo expirado","Prazo passado",IF(LEFT(AK171,11)="Monitorizar","Monitorizar",IF(Y171&gt;=3.5,"Prioridade",IF(Y171&gt;=3,"Candidatar (reach)","Reserva"))))</f>
        <v>Reserva</v>
      </c>
      <c r="AM171" s="7" t="s">
        <v>991</v>
      </c>
      <c r="AN171" s="42" t="s">
        <v>992</v>
      </c>
      <c r="AO171" s="7" t="s">
        <v>187</v>
      </c>
      <c r="AP171" s="7" t="s">
        <v>218</v>
      </c>
      <c r="AQ171" s="7" t="n">
        <f aca="false">IF(OR(AK171="Prazo expirado",LEFT(AK171,11)="Monitorizar"),0,1)</f>
        <v>1</v>
      </c>
      <c r="AR171" s="41" t="n">
        <f aca="false">IF(AQ171=0,0,AH171)</f>
        <v>0.1208</v>
      </c>
      <c r="AS171" s="41" t="n">
        <f aca="false">AR171*W171/5</f>
        <v>0.03624</v>
      </c>
      <c r="AT171" s="43" t="n">
        <f aca="false">AS171+W171/1000000+(1000-ROW())/1000000000</f>
        <v>0.036242329</v>
      </c>
      <c r="AU171" s="35" t="n">
        <f aca="false">RANK(AT171,$AT$4:$AT$227)</f>
        <v>42</v>
      </c>
      <c r="AV171" s="40" t="n">
        <f aca="false">IF(AQ171=0,"",AF171)</f>
        <v>92.5</v>
      </c>
      <c r="AW171" s="41" t="n">
        <f aca="false">IF(AQ171=0,"",AH171)</f>
        <v>0.1208</v>
      </c>
    </row>
    <row r="172" customFormat="false" ht="22.5" hidden="false" customHeight="true" outlineLevel="0" collapsed="false">
      <c r="A172" s="35" t="n">
        <v>169</v>
      </c>
      <c r="B172" s="7" t="s">
        <v>993</v>
      </c>
      <c r="C172" s="7" t="s">
        <v>994</v>
      </c>
      <c r="D172" s="7" t="s">
        <v>947</v>
      </c>
      <c r="E172" s="7" t="s">
        <v>942</v>
      </c>
      <c r="F172" s="35" t="s">
        <v>89</v>
      </c>
      <c r="G172" s="7" t="s">
        <v>311</v>
      </c>
      <c r="H172" s="7" t="s">
        <v>172</v>
      </c>
      <c r="I172" s="7" t="s">
        <v>173</v>
      </c>
      <c r="J172" s="35" t="s">
        <v>965</v>
      </c>
      <c r="K172" s="7" t="s">
        <v>995</v>
      </c>
      <c r="L172" s="7" t="s">
        <v>996</v>
      </c>
      <c r="M172" s="7" t="s">
        <v>576</v>
      </c>
      <c r="N172" s="7" t="s">
        <v>990</v>
      </c>
      <c r="O172" s="44" t="n">
        <v>46295</v>
      </c>
      <c r="P172" s="35" t="n">
        <f aca="true">IF(ISNUMBER(O172),O172-TODAY(),"")</f>
        <v>-17</v>
      </c>
      <c r="Q172" s="7" t="s">
        <v>179</v>
      </c>
      <c r="R172" s="36" t="n">
        <v>1100</v>
      </c>
      <c r="S172" s="36" t="n">
        <v>1500</v>
      </c>
      <c r="T172" s="37" t="n">
        <f aca="false">IF(R172="","",AVERAGE(R172,S172))</f>
        <v>1300</v>
      </c>
      <c r="U172" s="7" t="s">
        <v>547</v>
      </c>
      <c r="V172" s="38" t="s">
        <v>318</v>
      </c>
      <c r="W172" s="38" t="n">
        <v>2</v>
      </c>
      <c r="X172" s="38" t="n">
        <v>4.2</v>
      </c>
      <c r="Y172" s="35" t="n">
        <f aca="false">ROUND(0.6*W172+0.4*X172,1)</f>
        <v>2.9</v>
      </c>
      <c r="Z172" s="38" t="s">
        <v>518</v>
      </c>
      <c r="AA172" s="38" t="n">
        <v>0.3</v>
      </c>
      <c r="AB172" s="39" t="n">
        <f aca="false">1-AA172*(1-INDEX('Perfil e pressupostos'!$C$14:$C$20,MATCH(Z172,'Perfil e pressupostos'!$A$14:$A$20,0)))</f>
        <v>1</v>
      </c>
      <c r="AC172" s="38" t="n">
        <v>0.9</v>
      </c>
      <c r="AD172" s="38" t="n">
        <v>1</v>
      </c>
      <c r="AE172" s="38" t="n">
        <v>0.7</v>
      </c>
      <c r="AF172" s="40" t="n">
        <f aca="false">100*('Perfil e pressupostos'!$F$14*AB172+'Perfil e pressupostos'!$F$15*AC172+'Perfil e pressupostos'!$F$16*AD172+'Perfil e pressupostos'!$F$17*AE172)/'Perfil e pressupostos'!$F$18</f>
        <v>92.5</v>
      </c>
      <c r="AG172" s="41" t="n">
        <f aca="false">INDEX('Perfil e pressupostos'!$B$25:$B$28,MATCH(V172,'Perfil e pressupostos'!$A$25:$A$28,0))</f>
        <v>0.08</v>
      </c>
      <c r="AH172" s="41" t="n">
        <f aca="false">MIN('Perfil e pressupostos'!$F$29,AG172*('Perfil e pressupostos'!$F$25+'Perfil e pressupostos'!$F$26*AF172/100)*IF(AD172&lt;='Perfil e pressupostos'!$F$28,'Perfil e pressupostos'!$F$27,1))</f>
        <v>0.1208</v>
      </c>
      <c r="AI172" s="35" t="str">
        <f aca="false">IF(AQ172=0,"—",IF(AH172&gt;='Perfil e pressupostos'!$F$30,"Boa",IF(AH172&gt;='Perfil e pressupostos'!$F$31,"Média","Baixa")))</f>
        <v>—</v>
      </c>
      <c r="AJ172" s="7" t="s">
        <v>961</v>
      </c>
      <c r="AK172" s="7" t="s">
        <v>292</v>
      </c>
      <c r="AL172" s="35" t="str">
        <f aca="false">IF(AK172="Prazo expirado","Prazo passado",IF(LEFT(AK172,11)="Monitorizar","Monitorizar",IF(Y172&gt;=3.5,"Prioridade",IF(Y172&gt;=3,"Candidatar (reach)","Reserva"))))</f>
        <v>Prazo passado</v>
      </c>
      <c r="AM172" s="7" t="s">
        <v>997</v>
      </c>
      <c r="AN172" s="42" t="s">
        <v>998</v>
      </c>
      <c r="AO172" s="7" t="s">
        <v>187</v>
      </c>
      <c r="AP172" s="7" t="s">
        <v>218</v>
      </c>
      <c r="AQ172" s="7" t="n">
        <f aca="false">IF(OR(AK172="Prazo expirado",LEFT(AK172,11)="Monitorizar"),0,1)</f>
        <v>0</v>
      </c>
      <c r="AR172" s="41" t="n">
        <f aca="false">IF(AQ172=0,0,AH172)</f>
        <v>0</v>
      </c>
      <c r="AS172" s="41" t="n">
        <f aca="false">AR172*W172/5</f>
        <v>0</v>
      </c>
      <c r="AT172" s="43" t="n">
        <f aca="false">AS172+W172/1000000+(1000-ROW())/1000000000</f>
        <v>2.828E-006</v>
      </c>
      <c r="AU172" s="35" t="n">
        <f aca="false">RANK(AT172,$AT$4:$AT$227)</f>
        <v>223</v>
      </c>
      <c r="AV172" s="40" t="str">
        <f aca="false">IF(AQ172=0,"",AF172)</f>
        <v/>
      </c>
      <c r="AW172" s="41" t="str">
        <f aca="false">IF(AQ172=0,"",AH172)</f>
        <v/>
      </c>
    </row>
    <row r="173" customFormat="false" ht="22.5" hidden="false" customHeight="true" outlineLevel="0" collapsed="false">
      <c r="A173" s="35" t="n">
        <v>170</v>
      </c>
      <c r="B173" s="7" t="s">
        <v>999</v>
      </c>
      <c r="C173" s="7" t="s">
        <v>1000</v>
      </c>
      <c r="D173" s="7" t="s">
        <v>947</v>
      </c>
      <c r="E173" s="7" t="s">
        <v>942</v>
      </c>
      <c r="F173" s="35" t="s">
        <v>89</v>
      </c>
      <c r="G173" s="7" t="s">
        <v>311</v>
      </c>
      <c r="H173" s="7" t="s">
        <v>172</v>
      </c>
      <c r="I173" s="7" t="s">
        <v>179</v>
      </c>
      <c r="J173" s="35" t="s">
        <v>207</v>
      </c>
      <c r="K173" s="7" t="s">
        <v>1001</v>
      </c>
      <c r="L173" s="7" t="s">
        <v>1002</v>
      </c>
      <c r="M173" s="7" t="s">
        <v>576</v>
      </c>
      <c r="N173" s="7" t="s">
        <v>215</v>
      </c>
      <c r="O173" s="7" t="s">
        <v>179</v>
      </c>
      <c r="P173" s="35" t="str">
        <f aca="true">IF(ISNUMBER(O173),O173-TODAY(),"")</f>
        <v/>
      </c>
      <c r="Q173" s="7" t="s">
        <v>179</v>
      </c>
      <c r="R173" s="36" t="n">
        <v>1000</v>
      </c>
      <c r="S173" s="36" t="n">
        <v>1300</v>
      </c>
      <c r="T173" s="37" t="n">
        <f aca="false">IF(R173="","",AVERAGE(R173,S173))</f>
        <v>1150</v>
      </c>
      <c r="U173" s="7" t="s">
        <v>547</v>
      </c>
      <c r="V173" s="38" t="s">
        <v>318</v>
      </c>
      <c r="W173" s="38" t="n">
        <v>1.5</v>
      </c>
      <c r="X173" s="38" t="n">
        <v>3.9</v>
      </c>
      <c r="Y173" s="35" t="n">
        <f aca="false">ROUND(0.6*W173+0.4*X173,1)</f>
        <v>2.5</v>
      </c>
      <c r="Z173" s="38" t="s">
        <v>518</v>
      </c>
      <c r="AA173" s="38" t="n">
        <v>0.3</v>
      </c>
      <c r="AB173" s="39" t="n">
        <f aca="false">1-AA173*(1-INDEX('Perfil e pressupostos'!$C$14:$C$20,MATCH(Z173,'Perfil e pressupostos'!$A$14:$A$20,0)))</f>
        <v>1</v>
      </c>
      <c r="AC173" s="38" t="n">
        <v>0.8</v>
      </c>
      <c r="AD173" s="38" t="n">
        <v>1</v>
      </c>
      <c r="AE173" s="38" t="n">
        <v>0.7</v>
      </c>
      <c r="AF173" s="40" t="n">
        <f aca="false">100*('Perfil e pressupostos'!$F$14*AB173+'Perfil e pressupostos'!$F$15*AC173+'Perfil e pressupostos'!$F$16*AD173+'Perfil e pressupostos'!$F$17*AE173)/'Perfil e pressupostos'!$F$18</f>
        <v>89.5</v>
      </c>
      <c r="AG173" s="41" t="n">
        <f aca="false">INDEX('Perfil e pressupostos'!$B$25:$B$28,MATCH(V173,'Perfil e pressupostos'!$A$25:$A$28,0))</f>
        <v>0.08</v>
      </c>
      <c r="AH173" s="41" t="n">
        <f aca="false">MIN('Perfil e pressupostos'!$F$29,AG173*('Perfil e pressupostos'!$F$25+'Perfil e pressupostos'!$F$26*AF173/100)*IF(AD173&lt;='Perfil e pressupostos'!$F$28,'Perfil e pressupostos'!$F$27,1))</f>
        <v>0.11792</v>
      </c>
      <c r="AI173" s="35" t="str">
        <f aca="false">IF(AQ173=0,"—",IF(AH173&gt;='Perfil e pressupostos'!$F$30,"Boa",IF(AH173&gt;='Perfil e pressupostos'!$F$31,"Média","Baixa")))</f>
        <v>Boa</v>
      </c>
      <c r="AJ173" s="7" t="s">
        <v>961</v>
      </c>
      <c r="AK173" s="7" t="s">
        <v>215</v>
      </c>
      <c r="AL173" s="35" t="str">
        <f aca="false">IF(AK173="Prazo expirado","Prazo passado",IF(LEFT(AK173,11)="Monitorizar","Monitorizar",IF(Y173&gt;=3.5,"Prioridade",IF(Y173&gt;=3,"Candidatar (reach)","Reserva"))))</f>
        <v>Reserva</v>
      </c>
      <c r="AM173" s="7" t="s">
        <v>548</v>
      </c>
      <c r="AN173" s="42" t="s">
        <v>1003</v>
      </c>
      <c r="AO173" s="7" t="s">
        <v>361</v>
      </c>
      <c r="AP173" s="7" t="s">
        <v>218</v>
      </c>
      <c r="AQ173" s="7" t="n">
        <f aca="false">IF(OR(AK173="Prazo expirado",LEFT(AK173,11)="Monitorizar"),0,1)</f>
        <v>1</v>
      </c>
      <c r="AR173" s="41" t="n">
        <f aca="false">IF(AQ173=0,0,AH173)</f>
        <v>0.11792</v>
      </c>
      <c r="AS173" s="41" t="n">
        <f aca="false">AR173*W173/5</f>
        <v>0.035376</v>
      </c>
      <c r="AT173" s="43" t="n">
        <f aca="false">AS173+W173/1000000+(1000-ROW())/1000000000</f>
        <v>0.035378327</v>
      </c>
      <c r="AU173" s="35" t="n">
        <f aca="false">RANK(AT173,$AT$4:$AT$227)</f>
        <v>43</v>
      </c>
      <c r="AV173" s="40" t="n">
        <f aca="false">IF(AQ173=0,"",AF173)</f>
        <v>89.5</v>
      </c>
      <c r="AW173" s="41" t="n">
        <f aca="false">IF(AQ173=0,"",AH173)</f>
        <v>0.11792</v>
      </c>
    </row>
    <row r="174" customFormat="false" ht="57" hidden="false" customHeight="true" outlineLevel="0" collapsed="false">
      <c r="A174" s="35" t="n">
        <v>171</v>
      </c>
      <c r="B174" s="7" t="s">
        <v>1004</v>
      </c>
      <c r="C174" s="7" t="s">
        <v>1005</v>
      </c>
      <c r="D174" s="7" t="s">
        <v>1006</v>
      </c>
      <c r="E174" s="7" t="s">
        <v>509</v>
      </c>
      <c r="F174" s="35" t="s">
        <v>89</v>
      </c>
      <c r="G174" s="7" t="s">
        <v>311</v>
      </c>
      <c r="H174" s="7" t="s">
        <v>172</v>
      </c>
      <c r="I174" s="7" t="s">
        <v>179</v>
      </c>
      <c r="J174" s="35" t="s">
        <v>207</v>
      </c>
      <c r="K174" s="7" t="s">
        <v>1007</v>
      </c>
      <c r="L174" s="7" t="s">
        <v>1008</v>
      </c>
      <c r="M174" s="7" t="s">
        <v>513</v>
      </c>
      <c r="N174" s="7" t="s">
        <v>1009</v>
      </c>
      <c r="O174" s="7" t="s">
        <v>179</v>
      </c>
      <c r="P174" s="35" t="str">
        <f aca="true">IF(ISNUMBER(O174),O174-TODAY(),"")</f>
        <v/>
      </c>
      <c r="Q174" s="7" t="s">
        <v>179</v>
      </c>
      <c r="R174" s="36" t="n">
        <v>1000</v>
      </c>
      <c r="S174" s="36" t="n">
        <v>1300</v>
      </c>
      <c r="T174" s="37" t="n">
        <f aca="false">IF(R174="","",AVERAGE(R174,S174))</f>
        <v>1150</v>
      </c>
      <c r="U174" s="7" t="s">
        <v>547</v>
      </c>
      <c r="V174" s="38" t="s">
        <v>318</v>
      </c>
      <c r="W174" s="38" t="n">
        <v>4.5</v>
      </c>
      <c r="X174" s="38" t="n">
        <v>3.8</v>
      </c>
      <c r="Y174" s="35" t="n">
        <f aca="false">ROUND(0.6*W174+0.4*X174,1)</f>
        <v>4.2</v>
      </c>
      <c r="Z174" s="38" t="s">
        <v>518</v>
      </c>
      <c r="AA174" s="38" t="n">
        <v>0.3</v>
      </c>
      <c r="AB174" s="39" t="n">
        <f aca="false">1-AA174*(1-INDEX('Perfil e pressupostos'!$C$14:$C$20,MATCH(Z174,'Perfil e pressupostos'!$A$14:$A$20,0)))</f>
        <v>1</v>
      </c>
      <c r="AC174" s="38" t="n">
        <v>0.7</v>
      </c>
      <c r="AD174" s="38" t="n">
        <v>1</v>
      </c>
      <c r="AE174" s="38" t="n">
        <v>0.85</v>
      </c>
      <c r="AF174" s="40" t="n">
        <f aca="false">100*('Perfil e pressupostos'!$F$14*AB174+'Perfil e pressupostos'!$F$15*AC174+'Perfil e pressupostos'!$F$16*AD174+'Perfil e pressupostos'!$F$17*AE174)/'Perfil e pressupostos'!$F$18</f>
        <v>88.75</v>
      </c>
      <c r="AG174" s="41" t="n">
        <f aca="false">INDEX('Perfil e pressupostos'!$B$25:$B$28,MATCH(V174,'Perfil e pressupostos'!$A$25:$A$28,0))</f>
        <v>0.08</v>
      </c>
      <c r="AH174" s="41" t="n">
        <f aca="false">MIN('Perfil e pressupostos'!$F$29,AG174*('Perfil e pressupostos'!$F$25+'Perfil e pressupostos'!$F$26*AF174/100)*IF(AD174&lt;='Perfil e pressupostos'!$F$28,'Perfil e pressupostos'!$F$27,1))</f>
        <v>0.1172</v>
      </c>
      <c r="AI174" s="35" t="str">
        <f aca="false">IF(AQ174=0,"—",IF(AH174&gt;='Perfil e pressupostos'!$F$30,"Boa",IF(AH174&gt;='Perfil e pressupostos'!$F$31,"Média","Baixa")))</f>
        <v>Boa</v>
      </c>
      <c r="AJ174" s="7" t="s">
        <v>961</v>
      </c>
      <c r="AK174" s="7" t="s">
        <v>184</v>
      </c>
      <c r="AL174" s="35" t="str">
        <f aca="false">IF(AK174="Prazo expirado","Prazo passado",IF(LEFT(AK174,11)="Monitorizar","Monitorizar",IF(Y174&gt;=3.5,"Prioridade",IF(Y174&gt;=3,"Candidatar (reach)","Reserva"))))</f>
        <v>Prioridade</v>
      </c>
      <c r="AM174" s="7" t="s">
        <v>1010</v>
      </c>
      <c r="AN174" s="42" t="s">
        <v>1011</v>
      </c>
      <c r="AO174" s="7" t="s">
        <v>187</v>
      </c>
      <c r="AP174" s="7" t="s">
        <v>218</v>
      </c>
      <c r="AQ174" s="7" t="n">
        <f aca="false">IF(OR(AK174="Prazo expirado",LEFT(AK174,11)="Monitorizar"),0,1)</f>
        <v>1</v>
      </c>
      <c r="AR174" s="41" t="n">
        <f aca="false">IF(AQ174=0,0,AH174)</f>
        <v>0.1172</v>
      </c>
      <c r="AS174" s="41" t="n">
        <f aca="false">AR174*W174/5</f>
        <v>0.10548</v>
      </c>
      <c r="AT174" s="43" t="n">
        <f aca="false">AS174+W174/1000000+(1000-ROW())/1000000000</f>
        <v>0.105485326</v>
      </c>
      <c r="AU174" s="35" t="n">
        <f aca="false">RANK(AT174,$AT$4:$AT$227)</f>
        <v>5</v>
      </c>
      <c r="AV174" s="40" t="n">
        <f aca="false">IF(AQ174=0,"",AF174)</f>
        <v>88.75</v>
      </c>
      <c r="AW174" s="41" t="n">
        <f aca="false">IF(AQ174=0,"",AH174)</f>
        <v>0.1172</v>
      </c>
    </row>
    <row r="175" customFormat="false" ht="45" hidden="false" customHeight="true" outlineLevel="0" collapsed="false">
      <c r="A175" s="35" t="n">
        <v>172</v>
      </c>
      <c r="B175" s="7" t="s">
        <v>1012</v>
      </c>
      <c r="C175" s="7" t="s">
        <v>1013</v>
      </c>
      <c r="D175" s="7" t="s">
        <v>1014</v>
      </c>
      <c r="E175" s="7" t="s">
        <v>509</v>
      </c>
      <c r="F175" s="35" t="s">
        <v>89</v>
      </c>
      <c r="G175" s="7" t="s">
        <v>311</v>
      </c>
      <c r="H175" s="7" t="s">
        <v>172</v>
      </c>
      <c r="I175" s="7" t="s">
        <v>179</v>
      </c>
      <c r="J175" s="35" t="s">
        <v>207</v>
      </c>
      <c r="K175" s="7" t="s">
        <v>1015</v>
      </c>
      <c r="L175" s="7" t="s">
        <v>1016</v>
      </c>
      <c r="M175" s="7" t="s">
        <v>576</v>
      </c>
      <c r="N175" s="7" t="s">
        <v>1017</v>
      </c>
      <c r="O175" s="7" t="s">
        <v>179</v>
      </c>
      <c r="P175" s="35" t="str">
        <f aca="true">IF(ISNUMBER(O175),O175-TODAY(),"")</f>
        <v/>
      </c>
      <c r="Q175" s="7" t="s">
        <v>179</v>
      </c>
      <c r="R175" s="36" t="n">
        <v>1500</v>
      </c>
      <c r="S175" s="36" t="n">
        <v>2000</v>
      </c>
      <c r="T175" s="37" t="n">
        <f aca="false">IF(R175="","",AVERAGE(R175,S175))</f>
        <v>1750</v>
      </c>
      <c r="U175" s="7" t="s">
        <v>547</v>
      </c>
      <c r="V175" s="38" t="s">
        <v>199</v>
      </c>
      <c r="W175" s="38" t="n">
        <v>3.5</v>
      </c>
      <c r="X175" s="38" t="n">
        <v>1.8</v>
      </c>
      <c r="Y175" s="35" t="n">
        <f aca="false">ROUND(0.6*W175+0.4*X175,1)</f>
        <v>2.8</v>
      </c>
      <c r="Z175" s="38" t="s">
        <v>518</v>
      </c>
      <c r="AA175" s="38" t="n">
        <v>0.3</v>
      </c>
      <c r="AB175" s="39" t="n">
        <f aca="false">1-AA175*(1-INDEX('Perfil e pressupostos'!$C$14:$C$20,MATCH(Z175,'Perfil e pressupostos'!$A$14:$A$20,0)))</f>
        <v>1</v>
      </c>
      <c r="AC175" s="38" t="n">
        <v>0.3</v>
      </c>
      <c r="AD175" s="38" t="n">
        <v>0.5</v>
      </c>
      <c r="AE175" s="38" t="n">
        <v>0.8</v>
      </c>
      <c r="AF175" s="40" t="n">
        <f aca="false">100*('Perfil e pressupostos'!$F$14*AB175+'Perfil e pressupostos'!$F$15*AC175+'Perfil e pressupostos'!$F$16*AD175+'Perfil e pressupostos'!$F$17*AE175)/'Perfil e pressupostos'!$F$18</f>
        <v>63.5</v>
      </c>
      <c r="AG175" s="41" t="n">
        <f aca="false">INDEX('Perfil e pressupostos'!$B$25:$B$28,MATCH(V175,'Perfil e pressupostos'!$A$25:$A$28,0))</f>
        <v>0.03</v>
      </c>
      <c r="AH175" s="41" t="n">
        <f aca="false">MIN('Perfil e pressupostos'!$F$29,AG175*('Perfil e pressupostos'!$F$25+'Perfil e pressupostos'!$F$26*AF175/100)*IF(AD175&lt;='Perfil e pressupostos'!$F$28,'Perfil e pressupostos'!$F$27,1))</f>
        <v>0.03486</v>
      </c>
      <c r="AI175" s="35" t="str">
        <f aca="false">IF(AQ175=0,"—",IF(AH175&gt;='Perfil e pressupostos'!$F$30,"Boa",IF(AH175&gt;='Perfil e pressupostos'!$F$31,"Média","Baixa")))</f>
        <v>Média</v>
      </c>
      <c r="AJ175" s="7" t="s">
        <v>1018</v>
      </c>
      <c r="AK175" s="7" t="s">
        <v>184</v>
      </c>
      <c r="AL175" s="35" t="str">
        <f aca="false">IF(AK175="Prazo expirado","Prazo passado",IF(LEFT(AK175,11)="Monitorizar","Monitorizar",IF(Y175&gt;=3.5,"Prioridade",IF(Y175&gt;=3,"Candidatar (reach)","Reserva"))))</f>
        <v>Reserva</v>
      </c>
      <c r="AM175" s="7" t="s">
        <v>1019</v>
      </c>
      <c r="AN175" s="42" t="s">
        <v>1020</v>
      </c>
      <c r="AO175" s="7" t="s">
        <v>361</v>
      </c>
      <c r="AP175" s="7" t="s">
        <v>218</v>
      </c>
      <c r="AQ175" s="7" t="n">
        <f aca="false">IF(OR(AK175="Prazo expirado",LEFT(AK175,11)="Monitorizar"),0,1)</f>
        <v>1</v>
      </c>
      <c r="AR175" s="41" t="n">
        <f aca="false">IF(AQ175=0,0,AH175)</f>
        <v>0.03486</v>
      </c>
      <c r="AS175" s="41" t="n">
        <f aca="false">AR175*W175/5</f>
        <v>0.024402</v>
      </c>
      <c r="AT175" s="43" t="n">
        <f aca="false">AS175+W175/1000000+(1000-ROW())/1000000000</f>
        <v>0.024406325</v>
      </c>
      <c r="AU175" s="35" t="n">
        <f aca="false">RANK(AT175,$AT$4:$AT$227)</f>
        <v>63</v>
      </c>
      <c r="AV175" s="40" t="n">
        <f aca="false">IF(AQ175=0,"",AF175)</f>
        <v>63.5</v>
      </c>
      <c r="AW175" s="41" t="n">
        <f aca="false">IF(AQ175=0,"",AH175)</f>
        <v>0.03486</v>
      </c>
    </row>
    <row r="176" customFormat="false" ht="33.75" hidden="false" customHeight="true" outlineLevel="0" collapsed="false">
      <c r="A176" s="35" t="n">
        <v>173</v>
      </c>
      <c r="B176" s="7" t="s">
        <v>1021</v>
      </c>
      <c r="C176" s="7" t="s">
        <v>1022</v>
      </c>
      <c r="D176" s="7" t="s">
        <v>947</v>
      </c>
      <c r="E176" s="7" t="s">
        <v>509</v>
      </c>
      <c r="F176" s="35" t="s">
        <v>89</v>
      </c>
      <c r="G176" s="7" t="s">
        <v>311</v>
      </c>
      <c r="H176" s="7" t="s">
        <v>172</v>
      </c>
      <c r="I176" s="7" t="s">
        <v>179</v>
      </c>
      <c r="J176" s="35" t="s">
        <v>207</v>
      </c>
      <c r="K176" s="7" t="s">
        <v>1023</v>
      </c>
      <c r="L176" s="7" t="s">
        <v>1024</v>
      </c>
      <c r="M176" s="7" t="s">
        <v>576</v>
      </c>
      <c r="N176" s="7" t="s">
        <v>215</v>
      </c>
      <c r="O176" s="7" t="s">
        <v>179</v>
      </c>
      <c r="P176" s="35" t="str">
        <f aca="true">IF(ISNUMBER(O176),O176-TODAY(),"")</f>
        <v/>
      </c>
      <c r="Q176" s="7" t="s">
        <v>179</v>
      </c>
      <c r="R176" s="36" t="n">
        <v>1000</v>
      </c>
      <c r="S176" s="36" t="n">
        <v>1300</v>
      </c>
      <c r="T176" s="37" t="n">
        <f aca="false">IF(R176="","",AVERAGE(R176,S176))</f>
        <v>1150</v>
      </c>
      <c r="U176" s="7" t="s">
        <v>547</v>
      </c>
      <c r="V176" s="38" t="s">
        <v>517</v>
      </c>
      <c r="W176" s="38" t="n">
        <v>2</v>
      </c>
      <c r="X176" s="38" t="n">
        <v>4.2</v>
      </c>
      <c r="Y176" s="35" t="n">
        <f aca="false">ROUND(0.6*W176+0.4*X176,1)</f>
        <v>2.9</v>
      </c>
      <c r="Z176" s="38" t="s">
        <v>518</v>
      </c>
      <c r="AA176" s="38" t="n">
        <v>0.3</v>
      </c>
      <c r="AB176" s="39" t="n">
        <f aca="false">1-AA176*(1-INDEX('Perfil e pressupostos'!$C$14:$C$20,MATCH(Z176,'Perfil e pressupostos'!$A$14:$A$20,0)))</f>
        <v>1</v>
      </c>
      <c r="AC176" s="38" t="n">
        <v>0.9</v>
      </c>
      <c r="AD176" s="38" t="n">
        <v>1</v>
      </c>
      <c r="AE176" s="38" t="n">
        <v>0.7</v>
      </c>
      <c r="AF176" s="40" t="n">
        <f aca="false">100*('Perfil e pressupostos'!$F$14*AB176+'Perfil e pressupostos'!$F$15*AC176+'Perfil e pressupostos'!$F$16*AD176+'Perfil e pressupostos'!$F$17*AE176)/'Perfil e pressupostos'!$F$18</f>
        <v>92.5</v>
      </c>
      <c r="AG176" s="41" t="n">
        <f aca="false">INDEX('Perfil e pressupostos'!$B$25:$B$28,MATCH(V176,'Perfil e pressupostos'!$A$25:$A$28,0))</f>
        <v>0.12</v>
      </c>
      <c r="AH176" s="41" t="n">
        <f aca="false">MIN('Perfil e pressupostos'!$F$29,AG176*('Perfil e pressupostos'!$F$25+'Perfil e pressupostos'!$F$26*AF176/100)*IF(AD176&lt;='Perfil e pressupostos'!$F$28,'Perfil e pressupostos'!$F$27,1))</f>
        <v>0.1812</v>
      </c>
      <c r="AI176" s="35" t="str">
        <f aca="false">IF(AQ176=0,"—",IF(AH176&gt;='Perfil e pressupostos'!$F$30,"Boa",IF(AH176&gt;='Perfil e pressupostos'!$F$31,"Média","Baixa")))</f>
        <v>Boa</v>
      </c>
      <c r="AJ176" s="7" t="s">
        <v>961</v>
      </c>
      <c r="AK176" s="7" t="s">
        <v>215</v>
      </c>
      <c r="AL176" s="35" t="str">
        <f aca="false">IF(AK176="Prazo expirado","Prazo passado",IF(LEFT(AK176,11)="Monitorizar","Monitorizar",IF(Y176&gt;=3.5,"Prioridade",IF(Y176&gt;=3,"Candidatar (reach)","Reserva"))))</f>
        <v>Reserva</v>
      </c>
      <c r="AM176" s="7" t="s">
        <v>1025</v>
      </c>
      <c r="AN176" s="42" t="s">
        <v>1026</v>
      </c>
      <c r="AO176" s="7" t="s">
        <v>187</v>
      </c>
      <c r="AP176" s="7" t="s">
        <v>218</v>
      </c>
      <c r="AQ176" s="7" t="n">
        <f aca="false">IF(OR(AK176="Prazo expirado",LEFT(AK176,11)="Monitorizar"),0,1)</f>
        <v>1</v>
      </c>
      <c r="AR176" s="41" t="n">
        <f aca="false">IF(AQ176=0,0,AH176)</f>
        <v>0.1812</v>
      </c>
      <c r="AS176" s="41" t="n">
        <f aca="false">AR176*W176/5</f>
        <v>0.07248</v>
      </c>
      <c r="AT176" s="43" t="n">
        <f aca="false">AS176+W176/1000000+(1000-ROW())/1000000000</f>
        <v>0.072482824</v>
      </c>
      <c r="AU176" s="35" t="n">
        <f aca="false">RANK(AT176,$AT$4:$AT$227)</f>
        <v>19</v>
      </c>
      <c r="AV176" s="40" t="n">
        <f aca="false">IF(AQ176=0,"",AF176)</f>
        <v>92.5</v>
      </c>
      <c r="AW176" s="41" t="n">
        <f aca="false">IF(AQ176=0,"",AH176)</f>
        <v>0.1812</v>
      </c>
    </row>
    <row r="177" customFormat="false" ht="33.75" hidden="false" customHeight="true" outlineLevel="0" collapsed="false">
      <c r="A177" s="35" t="n">
        <v>174</v>
      </c>
      <c r="B177" s="7" t="s">
        <v>1021</v>
      </c>
      <c r="C177" s="7" t="s">
        <v>1027</v>
      </c>
      <c r="D177" s="7" t="s">
        <v>947</v>
      </c>
      <c r="E177" s="7" t="s">
        <v>509</v>
      </c>
      <c r="F177" s="35" t="s">
        <v>89</v>
      </c>
      <c r="G177" s="7" t="s">
        <v>311</v>
      </c>
      <c r="H177" s="7" t="s">
        <v>172</v>
      </c>
      <c r="I177" s="7" t="s">
        <v>179</v>
      </c>
      <c r="J177" s="35" t="s">
        <v>207</v>
      </c>
      <c r="K177" s="7" t="s">
        <v>1028</v>
      </c>
      <c r="L177" s="7" t="s">
        <v>1029</v>
      </c>
      <c r="M177" s="7" t="s">
        <v>576</v>
      </c>
      <c r="N177" s="7" t="s">
        <v>215</v>
      </c>
      <c r="O177" s="7" t="s">
        <v>179</v>
      </c>
      <c r="P177" s="35" t="str">
        <f aca="true">IF(ISNUMBER(O177),O177-TODAY(),"")</f>
        <v/>
      </c>
      <c r="Q177" s="7" t="s">
        <v>179</v>
      </c>
      <c r="R177" s="36" t="n">
        <v>1000</v>
      </c>
      <c r="S177" s="36" t="n">
        <v>1300</v>
      </c>
      <c r="T177" s="37" t="n">
        <f aca="false">IF(R177="","",AVERAGE(R177,S177))</f>
        <v>1150</v>
      </c>
      <c r="U177" s="7" t="s">
        <v>547</v>
      </c>
      <c r="V177" s="38" t="s">
        <v>517</v>
      </c>
      <c r="W177" s="38" t="n">
        <v>1.5</v>
      </c>
      <c r="X177" s="38" t="n">
        <v>4.2</v>
      </c>
      <c r="Y177" s="35" t="n">
        <f aca="false">ROUND(0.6*W177+0.4*X177,1)</f>
        <v>2.6</v>
      </c>
      <c r="Z177" s="38" t="s">
        <v>518</v>
      </c>
      <c r="AA177" s="38" t="n">
        <v>0.3</v>
      </c>
      <c r="AB177" s="39" t="n">
        <f aca="false">1-AA177*(1-INDEX('Perfil e pressupostos'!$C$14:$C$20,MATCH(Z177,'Perfil e pressupostos'!$A$14:$A$20,0)))</f>
        <v>1</v>
      </c>
      <c r="AC177" s="38" t="n">
        <v>0.9</v>
      </c>
      <c r="AD177" s="38" t="n">
        <v>1</v>
      </c>
      <c r="AE177" s="38" t="n">
        <v>0.7</v>
      </c>
      <c r="AF177" s="40" t="n">
        <f aca="false">100*('Perfil e pressupostos'!$F$14*AB177+'Perfil e pressupostos'!$F$15*AC177+'Perfil e pressupostos'!$F$16*AD177+'Perfil e pressupostos'!$F$17*AE177)/'Perfil e pressupostos'!$F$18</f>
        <v>92.5</v>
      </c>
      <c r="AG177" s="41" t="n">
        <f aca="false">INDEX('Perfil e pressupostos'!$B$25:$B$28,MATCH(V177,'Perfil e pressupostos'!$A$25:$A$28,0))</f>
        <v>0.12</v>
      </c>
      <c r="AH177" s="41" t="n">
        <f aca="false">MIN('Perfil e pressupostos'!$F$29,AG177*('Perfil e pressupostos'!$F$25+'Perfil e pressupostos'!$F$26*AF177/100)*IF(AD177&lt;='Perfil e pressupostos'!$F$28,'Perfil e pressupostos'!$F$27,1))</f>
        <v>0.1812</v>
      </c>
      <c r="AI177" s="35" t="str">
        <f aca="false">IF(AQ177=0,"—",IF(AH177&gt;='Perfil e pressupostos'!$F$30,"Boa",IF(AH177&gt;='Perfil e pressupostos'!$F$31,"Média","Baixa")))</f>
        <v>Boa</v>
      </c>
      <c r="AJ177" s="7" t="s">
        <v>961</v>
      </c>
      <c r="AK177" s="7" t="s">
        <v>215</v>
      </c>
      <c r="AL177" s="35" t="str">
        <f aca="false">IF(AK177="Prazo expirado","Prazo passado",IF(LEFT(AK177,11)="Monitorizar","Monitorizar",IF(Y177&gt;=3.5,"Prioridade",IF(Y177&gt;=3,"Candidatar (reach)","Reserva"))))</f>
        <v>Reserva</v>
      </c>
      <c r="AM177" s="7" t="s">
        <v>1030</v>
      </c>
      <c r="AN177" s="42" t="s">
        <v>1031</v>
      </c>
      <c r="AO177" s="7" t="s">
        <v>187</v>
      </c>
      <c r="AP177" s="7" t="s">
        <v>218</v>
      </c>
      <c r="AQ177" s="7" t="n">
        <f aca="false">IF(OR(AK177="Prazo expirado",LEFT(AK177,11)="Monitorizar"),0,1)</f>
        <v>1</v>
      </c>
      <c r="AR177" s="41" t="n">
        <f aca="false">IF(AQ177=0,0,AH177)</f>
        <v>0.1812</v>
      </c>
      <c r="AS177" s="41" t="n">
        <f aca="false">AR177*W177/5</f>
        <v>0.05436</v>
      </c>
      <c r="AT177" s="43" t="n">
        <f aca="false">AS177+W177/1000000+(1000-ROW())/1000000000</f>
        <v>0.054362323</v>
      </c>
      <c r="AU177" s="35" t="n">
        <f aca="false">RANK(AT177,$AT$4:$AT$227)</f>
        <v>37</v>
      </c>
      <c r="AV177" s="40" t="n">
        <f aca="false">IF(AQ177=0,"",AF177)</f>
        <v>92.5</v>
      </c>
      <c r="AW177" s="41" t="n">
        <f aca="false">IF(AQ177=0,"",AH177)</f>
        <v>0.1812</v>
      </c>
    </row>
    <row r="178" customFormat="false" ht="33.75" hidden="false" customHeight="true" outlineLevel="0" collapsed="false">
      <c r="A178" s="35" t="n">
        <v>175</v>
      </c>
      <c r="B178" s="7" t="s">
        <v>1021</v>
      </c>
      <c r="C178" s="7" t="s">
        <v>1032</v>
      </c>
      <c r="D178" s="7" t="s">
        <v>1033</v>
      </c>
      <c r="E178" s="7" t="s">
        <v>509</v>
      </c>
      <c r="F178" s="35" t="s">
        <v>89</v>
      </c>
      <c r="G178" s="7" t="s">
        <v>311</v>
      </c>
      <c r="H178" s="7" t="s">
        <v>172</v>
      </c>
      <c r="I178" s="7" t="s">
        <v>179</v>
      </c>
      <c r="J178" s="35" t="s">
        <v>207</v>
      </c>
      <c r="K178" s="7" t="s">
        <v>765</v>
      </c>
      <c r="L178" s="7" t="s">
        <v>766</v>
      </c>
      <c r="M178" s="7" t="s">
        <v>576</v>
      </c>
      <c r="N178" s="7" t="s">
        <v>215</v>
      </c>
      <c r="O178" s="7" t="s">
        <v>179</v>
      </c>
      <c r="P178" s="35" t="str">
        <f aca="true">IF(ISNUMBER(O178),O178-TODAY(),"")</f>
        <v/>
      </c>
      <c r="Q178" s="7" t="s">
        <v>179</v>
      </c>
      <c r="R178" s="36" t="n">
        <v>1000</v>
      </c>
      <c r="S178" s="36" t="n">
        <v>1300</v>
      </c>
      <c r="T178" s="37" t="n">
        <f aca="false">IF(R178="","",AVERAGE(R178,S178))</f>
        <v>1150</v>
      </c>
      <c r="U178" s="7" t="s">
        <v>547</v>
      </c>
      <c r="V178" s="38" t="s">
        <v>517</v>
      </c>
      <c r="W178" s="38" t="n">
        <v>3</v>
      </c>
      <c r="X178" s="38" t="n">
        <v>4</v>
      </c>
      <c r="Y178" s="35" t="n">
        <f aca="false">ROUND(0.6*W178+0.4*X178,1)</f>
        <v>3.4</v>
      </c>
      <c r="Z178" s="38" t="s">
        <v>518</v>
      </c>
      <c r="AA178" s="38" t="n">
        <v>0.3</v>
      </c>
      <c r="AB178" s="39" t="n">
        <f aca="false">1-AA178*(1-INDEX('Perfil e pressupostos'!$C$14:$C$20,MATCH(Z178,'Perfil e pressupostos'!$A$14:$A$20,0)))</f>
        <v>1</v>
      </c>
      <c r="AC178" s="38" t="n">
        <v>0.8</v>
      </c>
      <c r="AD178" s="38" t="n">
        <v>1</v>
      </c>
      <c r="AE178" s="38" t="n">
        <v>0.8</v>
      </c>
      <c r="AF178" s="40" t="n">
        <f aca="false">100*('Perfil e pressupostos'!$F$14*AB178+'Perfil e pressupostos'!$F$15*AC178+'Perfil e pressupostos'!$F$16*AD178+'Perfil e pressupostos'!$F$17*AE178)/'Perfil e pressupostos'!$F$18</f>
        <v>91</v>
      </c>
      <c r="AG178" s="41" t="n">
        <f aca="false">INDEX('Perfil e pressupostos'!$B$25:$B$28,MATCH(V178,'Perfil e pressupostos'!$A$25:$A$28,0))</f>
        <v>0.12</v>
      </c>
      <c r="AH178" s="41" t="n">
        <f aca="false">MIN('Perfil e pressupostos'!$F$29,AG178*('Perfil e pressupostos'!$F$25+'Perfil e pressupostos'!$F$26*AF178/100)*IF(AD178&lt;='Perfil e pressupostos'!$F$28,'Perfil e pressupostos'!$F$27,1))</f>
        <v>0.17904</v>
      </c>
      <c r="AI178" s="35" t="str">
        <f aca="false">IF(AQ178=0,"—",IF(AH178&gt;='Perfil e pressupostos'!$F$30,"Boa",IF(AH178&gt;='Perfil e pressupostos'!$F$31,"Média","Baixa")))</f>
        <v>Boa</v>
      </c>
      <c r="AJ178" s="7" t="s">
        <v>961</v>
      </c>
      <c r="AK178" s="7" t="s">
        <v>215</v>
      </c>
      <c r="AL178" s="35" t="str">
        <f aca="false">IF(AK178="Prazo expirado","Prazo passado",IF(LEFT(AK178,11)="Monitorizar","Monitorizar",IF(Y178&gt;=3.5,"Prioridade",IF(Y178&gt;=3,"Candidatar (reach)","Reserva"))))</f>
        <v>Candidatar (reach)</v>
      </c>
      <c r="AM178" s="7" t="s">
        <v>1034</v>
      </c>
      <c r="AN178" s="42" t="s">
        <v>1035</v>
      </c>
      <c r="AO178" s="7" t="s">
        <v>361</v>
      </c>
      <c r="AP178" s="7" t="s">
        <v>218</v>
      </c>
      <c r="AQ178" s="7" t="n">
        <f aca="false">IF(OR(AK178="Prazo expirado",LEFT(AK178,11)="Monitorizar"),0,1)</f>
        <v>1</v>
      </c>
      <c r="AR178" s="41" t="n">
        <f aca="false">IF(AQ178=0,0,AH178)</f>
        <v>0.17904</v>
      </c>
      <c r="AS178" s="41" t="n">
        <f aca="false">AR178*W178/5</f>
        <v>0.107424</v>
      </c>
      <c r="AT178" s="43" t="n">
        <f aca="false">AS178+W178/1000000+(1000-ROW())/1000000000</f>
        <v>0.107427822</v>
      </c>
      <c r="AU178" s="35" t="n">
        <f aca="false">RANK(AT178,$AT$4:$AT$227)</f>
        <v>1</v>
      </c>
      <c r="AV178" s="40" t="n">
        <f aca="false">IF(AQ178=0,"",AF178)</f>
        <v>91</v>
      </c>
      <c r="AW178" s="41" t="n">
        <f aca="false">IF(AQ178=0,"",AH178)</f>
        <v>0.17904</v>
      </c>
    </row>
    <row r="179" customFormat="false" ht="33.75" hidden="false" customHeight="true" outlineLevel="0" collapsed="false">
      <c r="A179" s="35" t="n">
        <v>176</v>
      </c>
      <c r="B179" s="7" t="s">
        <v>1021</v>
      </c>
      <c r="C179" s="7" t="s">
        <v>1036</v>
      </c>
      <c r="D179" s="7" t="s">
        <v>1037</v>
      </c>
      <c r="E179" s="7" t="s">
        <v>509</v>
      </c>
      <c r="F179" s="35" t="s">
        <v>89</v>
      </c>
      <c r="G179" s="7" t="s">
        <v>311</v>
      </c>
      <c r="H179" s="7" t="s">
        <v>172</v>
      </c>
      <c r="I179" s="7" t="s">
        <v>179</v>
      </c>
      <c r="J179" s="35" t="s">
        <v>207</v>
      </c>
      <c r="K179" s="7" t="s">
        <v>765</v>
      </c>
      <c r="L179" s="7" t="s">
        <v>766</v>
      </c>
      <c r="M179" s="7" t="s">
        <v>576</v>
      </c>
      <c r="N179" s="7" t="s">
        <v>215</v>
      </c>
      <c r="O179" s="7" t="s">
        <v>179</v>
      </c>
      <c r="P179" s="35" t="str">
        <f aca="true">IF(ISNUMBER(O179),O179-TODAY(),"")</f>
        <v/>
      </c>
      <c r="Q179" s="7" t="s">
        <v>179</v>
      </c>
      <c r="R179" s="36" t="n">
        <v>1000</v>
      </c>
      <c r="S179" s="36" t="n">
        <v>1300</v>
      </c>
      <c r="T179" s="37" t="n">
        <f aca="false">IF(R179="","",AVERAGE(R179,S179))</f>
        <v>1150</v>
      </c>
      <c r="U179" s="7" t="s">
        <v>547</v>
      </c>
      <c r="V179" s="38" t="s">
        <v>517</v>
      </c>
      <c r="W179" s="38" t="n">
        <v>3</v>
      </c>
      <c r="X179" s="38" t="n">
        <v>4</v>
      </c>
      <c r="Y179" s="35" t="n">
        <f aca="false">ROUND(0.6*W179+0.4*X179,1)</f>
        <v>3.4</v>
      </c>
      <c r="Z179" s="38" t="s">
        <v>518</v>
      </c>
      <c r="AA179" s="38" t="n">
        <v>0.3</v>
      </c>
      <c r="AB179" s="39" t="n">
        <f aca="false">1-AA179*(1-INDEX('Perfil e pressupostos'!$C$14:$C$20,MATCH(Z179,'Perfil e pressupostos'!$A$14:$A$20,0)))</f>
        <v>1</v>
      </c>
      <c r="AC179" s="38" t="n">
        <v>0.8</v>
      </c>
      <c r="AD179" s="38" t="n">
        <v>1</v>
      </c>
      <c r="AE179" s="38" t="n">
        <v>0.8</v>
      </c>
      <c r="AF179" s="40" t="n">
        <f aca="false">100*('Perfil e pressupostos'!$F$14*AB179+'Perfil e pressupostos'!$F$15*AC179+'Perfil e pressupostos'!$F$16*AD179+'Perfil e pressupostos'!$F$17*AE179)/'Perfil e pressupostos'!$F$18</f>
        <v>91</v>
      </c>
      <c r="AG179" s="41" t="n">
        <f aca="false">INDEX('Perfil e pressupostos'!$B$25:$B$28,MATCH(V179,'Perfil e pressupostos'!$A$25:$A$28,0))</f>
        <v>0.12</v>
      </c>
      <c r="AH179" s="41" t="n">
        <f aca="false">MIN('Perfil e pressupostos'!$F$29,AG179*('Perfil e pressupostos'!$F$25+'Perfil e pressupostos'!$F$26*AF179/100)*IF(AD179&lt;='Perfil e pressupostos'!$F$28,'Perfil e pressupostos'!$F$27,1))</f>
        <v>0.17904</v>
      </c>
      <c r="AI179" s="35" t="str">
        <f aca="false">IF(AQ179=0,"—",IF(AH179&gt;='Perfil e pressupostos'!$F$30,"Boa",IF(AH179&gt;='Perfil e pressupostos'!$F$31,"Média","Baixa")))</f>
        <v>Boa</v>
      </c>
      <c r="AJ179" s="7" t="s">
        <v>961</v>
      </c>
      <c r="AK179" s="7" t="s">
        <v>215</v>
      </c>
      <c r="AL179" s="35" t="str">
        <f aca="false">IF(AK179="Prazo expirado","Prazo passado",IF(LEFT(AK179,11)="Monitorizar","Monitorizar",IF(Y179&gt;=3.5,"Prioridade",IF(Y179&gt;=3,"Candidatar (reach)","Reserva"))))</f>
        <v>Candidatar (reach)</v>
      </c>
      <c r="AM179" s="7" t="s">
        <v>1034</v>
      </c>
      <c r="AN179" s="42" t="s">
        <v>1038</v>
      </c>
      <c r="AO179" s="7" t="s">
        <v>361</v>
      </c>
      <c r="AP179" s="7" t="s">
        <v>218</v>
      </c>
      <c r="AQ179" s="7" t="n">
        <f aca="false">IF(OR(AK179="Prazo expirado",LEFT(AK179,11)="Monitorizar"),0,1)</f>
        <v>1</v>
      </c>
      <c r="AR179" s="41" t="n">
        <f aca="false">IF(AQ179=0,0,AH179)</f>
        <v>0.17904</v>
      </c>
      <c r="AS179" s="41" t="n">
        <f aca="false">AR179*W179/5</f>
        <v>0.107424</v>
      </c>
      <c r="AT179" s="43" t="n">
        <f aca="false">AS179+W179/1000000+(1000-ROW())/1000000000</f>
        <v>0.107427821</v>
      </c>
      <c r="AU179" s="35" t="n">
        <f aca="false">RANK(AT179,$AT$4:$AT$227)</f>
        <v>2</v>
      </c>
      <c r="AV179" s="40" t="n">
        <f aca="false">IF(AQ179=0,"",AF179)</f>
        <v>91</v>
      </c>
      <c r="AW179" s="41" t="n">
        <f aca="false">IF(AQ179=0,"",AH179)</f>
        <v>0.17904</v>
      </c>
    </row>
    <row r="180" customFormat="false" ht="45" hidden="false" customHeight="true" outlineLevel="0" collapsed="false">
      <c r="A180" s="35" t="n">
        <v>177</v>
      </c>
      <c r="B180" s="7" t="s">
        <v>1039</v>
      </c>
      <c r="C180" s="7" t="s">
        <v>1040</v>
      </c>
      <c r="D180" s="7" t="s">
        <v>947</v>
      </c>
      <c r="E180" s="7" t="s">
        <v>509</v>
      </c>
      <c r="F180" s="35" t="s">
        <v>89</v>
      </c>
      <c r="G180" s="7" t="s">
        <v>311</v>
      </c>
      <c r="H180" s="7" t="s">
        <v>172</v>
      </c>
      <c r="I180" s="7" t="s">
        <v>179</v>
      </c>
      <c r="J180" s="35" t="s">
        <v>965</v>
      </c>
      <c r="K180" s="7" t="s">
        <v>1041</v>
      </c>
      <c r="L180" s="7" t="s">
        <v>1042</v>
      </c>
      <c r="M180" s="7" t="s">
        <v>1043</v>
      </c>
      <c r="N180" s="7" t="s">
        <v>1044</v>
      </c>
      <c r="O180" s="7" t="s">
        <v>179</v>
      </c>
      <c r="P180" s="35" t="str">
        <f aca="true">IF(ISNUMBER(O180),O180-TODAY(),"")</f>
        <v/>
      </c>
      <c r="Q180" s="7" t="s">
        <v>179</v>
      </c>
      <c r="R180" s="36" t="n">
        <v>1100</v>
      </c>
      <c r="S180" s="36" t="n">
        <v>1500</v>
      </c>
      <c r="T180" s="37" t="n">
        <f aca="false">IF(R180="","",AVERAGE(R180,S180))</f>
        <v>1300</v>
      </c>
      <c r="U180" s="7" t="s">
        <v>547</v>
      </c>
      <c r="V180" s="38" t="s">
        <v>318</v>
      </c>
      <c r="W180" s="38" t="n">
        <v>3.5</v>
      </c>
      <c r="X180" s="38" t="n">
        <v>3.9</v>
      </c>
      <c r="Y180" s="35" t="n">
        <f aca="false">ROUND(0.6*W180+0.4*X180,1)</f>
        <v>3.7</v>
      </c>
      <c r="Z180" s="38" t="s">
        <v>182</v>
      </c>
      <c r="AA180" s="38" t="n">
        <v>1</v>
      </c>
      <c r="AB180" s="39" t="n">
        <f aca="false">1-AA180*(1-INDEX('Perfil e pressupostos'!$C$14:$C$20,MATCH(Z180,'Perfil e pressupostos'!$A$14:$A$20,0)))</f>
        <v>0.95</v>
      </c>
      <c r="AC180" s="38" t="n">
        <v>0.8</v>
      </c>
      <c r="AD180" s="38" t="n">
        <v>1</v>
      </c>
      <c r="AE180" s="38" t="n">
        <v>0.8</v>
      </c>
      <c r="AF180" s="40" t="n">
        <f aca="false">100*('Perfil e pressupostos'!$F$14*AB180+'Perfil e pressupostos'!$F$15*AC180+'Perfil e pressupostos'!$F$16*AD180+'Perfil e pressupostos'!$F$17*AE180)/'Perfil e pressupostos'!$F$18</f>
        <v>89.5</v>
      </c>
      <c r="AG180" s="41" t="n">
        <f aca="false">INDEX('Perfil e pressupostos'!$B$25:$B$28,MATCH(V180,'Perfil e pressupostos'!$A$25:$A$28,0))</f>
        <v>0.08</v>
      </c>
      <c r="AH180" s="41" t="n">
        <f aca="false">MIN('Perfil e pressupostos'!$F$29,AG180*('Perfil e pressupostos'!$F$25+'Perfil e pressupostos'!$F$26*AF180/100)*IF(AD180&lt;='Perfil e pressupostos'!$F$28,'Perfil e pressupostos'!$F$27,1))</f>
        <v>0.11792</v>
      </c>
      <c r="AI180" s="35" t="str">
        <f aca="false">IF(AQ180=0,"—",IF(AH180&gt;='Perfil e pressupostos'!$F$30,"Boa",IF(AH180&gt;='Perfil e pressupostos'!$F$31,"Média","Baixa")))</f>
        <v>Boa</v>
      </c>
      <c r="AJ180" s="7" t="s">
        <v>319</v>
      </c>
      <c r="AK180" s="7" t="s">
        <v>184</v>
      </c>
      <c r="AL180" s="35" t="str">
        <f aca="false">IF(AK180="Prazo expirado","Prazo passado",IF(LEFT(AK180,11)="Monitorizar","Monitorizar",IF(Y180&gt;=3.5,"Prioridade",IF(Y180&gt;=3,"Candidatar (reach)","Reserva"))))</f>
        <v>Prioridade</v>
      </c>
      <c r="AM180" s="7" t="s">
        <v>1045</v>
      </c>
      <c r="AN180" s="42" t="s">
        <v>1046</v>
      </c>
      <c r="AO180" s="7" t="s">
        <v>187</v>
      </c>
      <c r="AP180" s="7" t="s">
        <v>188</v>
      </c>
      <c r="AQ180" s="7" t="n">
        <f aca="false">IF(OR(AK180="Prazo expirado",LEFT(AK180,11)="Monitorizar"),0,1)</f>
        <v>1</v>
      </c>
      <c r="AR180" s="41" t="n">
        <f aca="false">IF(AQ180=0,0,AH180)</f>
        <v>0.11792</v>
      </c>
      <c r="AS180" s="41" t="n">
        <f aca="false">AR180*W180/5</f>
        <v>0.082544</v>
      </c>
      <c r="AT180" s="43" t="n">
        <f aca="false">AS180+W180/1000000+(1000-ROW())/1000000000</f>
        <v>0.08254832</v>
      </c>
      <c r="AU180" s="35" t="n">
        <f aca="false">RANK(AT180,$AT$4:$AT$227)</f>
        <v>12</v>
      </c>
      <c r="AV180" s="40" t="n">
        <f aca="false">IF(AQ180=0,"",AF180)</f>
        <v>89.5</v>
      </c>
      <c r="AW180" s="41" t="n">
        <f aca="false">IF(AQ180=0,"",AH180)</f>
        <v>0.11792</v>
      </c>
    </row>
    <row r="181" customFormat="false" ht="33.75" hidden="false" customHeight="true" outlineLevel="0" collapsed="false">
      <c r="A181" s="35" t="n">
        <v>178</v>
      </c>
      <c r="B181" s="7" t="s">
        <v>1039</v>
      </c>
      <c r="C181" s="7" t="s">
        <v>1047</v>
      </c>
      <c r="D181" s="7" t="s">
        <v>1048</v>
      </c>
      <c r="E181" s="7" t="s">
        <v>509</v>
      </c>
      <c r="F181" s="35" t="s">
        <v>89</v>
      </c>
      <c r="G181" s="7" t="s">
        <v>311</v>
      </c>
      <c r="H181" s="7" t="s">
        <v>172</v>
      </c>
      <c r="I181" s="7" t="s">
        <v>179</v>
      </c>
      <c r="J181" s="35" t="s">
        <v>207</v>
      </c>
      <c r="K181" s="7" t="s">
        <v>1049</v>
      </c>
      <c r="L181" s="7" t="s">
        <v>1050</v>
      </c>
      <c r="M181" s="7" t="s">
        <v>1051</v>
      </c>
      <c r="N181" s="7" t="s">
        <v>215</v>
      </c>
      <c r="O181" s="7" t="s">
        <v>179</v>
      </c>
      <c r="P181" s="35" t="str">
        <f aca="true">IF(ISNUMBER(O181),O181-TODAY(),"")</f>
        <v/>
      </c>
      <c r="Q181" s="7" t="s">
        <v>179</v>
      </c>
      <c r="R181" s="36" t="n">
        <v>1100</v>
      </c>
      <c r="S181" s="36" t="n">
        <v>1500</v>
      </c>
      <c r="T181" s="37" t="n">
        <f aca="false">IF(R181="","",AVERAGE(R181,S181))</f>
        <v>1300</v>
      </c>
      <c r="U181" s="7" t="s">
        <v>547</v>
      </c>
      <c r="V181" s="38" t="s">
        <v>318</v>
      </c>
      <c r="W181" s="38" t="n">
        <v>4</v>
      </c>
      <c r="X181" s="38" t="n">
        <v>3.2</v>
      </c>
      <c r="Y181" s="35" t="n">
        <f aca="false">ROUND(0.6*W181+0.4*X181,1)</f>
        <v>3.7</v>
      </c>
      <c r="Z181" s="38" t="s">
        <v>182</v>
      </c>
      <c r="AA181" s="38" t="n">
        <v>1</v>
      </c>
      <c r="AB181" s="39" t="n">
        <f aca="false">1-AA181*(1-INDEX('Perfil e pressupostos'!$C$14:$C$20,MATCH(Z181,'Perfil e pressupostos'!$A$14:$A$20,0)))</f>
        <v>0.95</v>
      </c>
      <c r="AC181" s="38" t="n">
        <v>0.6</v>
      </c>
      <c r="AD181" s="38" t="n">
        <v>0.9</v>
      </c>
      <c r="AE181" s="38" t="n">
        <v>0.85</v>
      </c>
      <c r="AF181" s="40" t="n">
        <f aca="false">100*('Perfil e pressupostos'!$F$14*AB181+'Perfil e pressupostos'!$F$15*AC181+'Perfil e pressupostos'!$F$16*AD181+'Perfil e pressupostos'!$F$17*AE181)/'Perfil e pressupostos'!$F$18</f>
        <v>81.75</v>
      </c>
      <c r="AG181" s="41" t="n">
        <f aca="false">INDEX('Perfil e pressupostos'!$B$25:$B$28,MATCH(V181,'Perfil e pressupostos'!$A$25:$A$28,0))</f>
        <v>0.08</v>
      </c>
      <c r="AH181" s="41" t="n">
        <f aca="false">MIN('Perfil e pressupostos'!$F$29,AG181*('Perfil e pressupostos'!$F$25+'Perfil e pressupostos'!$F$26*AF181/100)*IF(AD181&lt;='Perfil e pressupostos'!$F$28,'Perfil e pressupostos'!$F$27,1))</f>
        <v>0.11048</v>
      </c>
      <c r="AI181" s="35" t="str">
        <f aca="false">IF(AQ181=0,"—",IF(AH181&gt;='Perfil e pressupostos'!$F$30,"Boa",IF(AH181&gt;='Perfil e pressupostos'!$F$31,"Média","Baixa")))</f>
        <v>—</v>
      </c>
      <c r="AJ181" s="7" t="s">
        <v>319</v>
      </c>
      <c r="AK181" s="7" t="s">
        <v>292</v>
      </c>
      <c r="AL181" s="35" t="str">
        <f aca="false">IF(AK181="Prazo expirado","Prazo passado",IF(LEFT(AK181,11)="Monitorizar","Monitorizar",IF(Y181&gt;=3.5,"Prioridade",IF(Y181&gt;=3,"Candidatar (reach)","Reserva"))))</f>
        <v>Prazo passado</v>
      </c>
      <c r="AM181" s="7" t="s">
        <v>1052</v>
      </c>
      <c r="AN181" s="42" t="s">
        <v>1053</v>
      </c>
      <c r="AO181" s="7" t="s">
        <v>187</v>
      </c>
      <c r="AP181" s="7" t="s">
        <v>188</v>
      </c>
      <c r="AQ181" s="7" t="n">
        <f aca="false">IF(OR(AK181="Prazo expirado",LEFT(AK181,11)="Monitorizar"),0,1)</f>
        <v>0</v>
      </c>
      <c r="AR181" s="41" t="n">
        <f aca="false">IF(AQ181=0,0,AH181)</f>
        <v>0</v>
      </c>
      <c r="AS181" s="41" t="n">
        <f aca="false">AR181*W181/5</f>
        <v>0</v>
      </c>
      <c r="AT181" s="43" t="n">
        <f aca="false">AS181+W181/1000000+(1000-ROW())/1000000000</f>
        <v>4.819E-006</v>
      </c>
      <c r="AU181" s="35" t="n">
        <f aca="false">RANK(AT181,$AT$4:$AT$227)</f>
        <v>204</v>
      </c>
      <c r="AV181" s="40" t="str">
        <f aca="false">IF(AQ181=0,"",AF181)</f>
        <v/>
      </c>
      <c r="AW181" s="41" t="str">
        <f aca="false">IF(AQ181=0,"",AH181)</f>
        <v/>
      </c>
    </row>
    <row r="182" customFormat="false" ht="33.75" hidden="false" customHeight="true" outlineLevel="0" collapsed="false">
      <c r="A182" s="35" t="n">
        <v>179</v>
      </c>
      <c r="B182" s="7" t="s">
        <v>1054</v>
      </c>
      <c r="C182" s="7" t="s">
        <v>1055</v>
      </c>
      <c r="D182" s="7" t="s">
        <v>947</v>
      </c>
      <c r="E182" s="7" t="s">
        <v>509</v>
      </c>
      <c r="F182" s="35" t="s">
        <v>89</v>
      </c>
      <c r="G182" s="7" t="s">
        <v>311</v>
      </c>
      <c r="H182" s="7" t="s">
        <v>172</v>
      </c>
      <c r="I182" s="7" t="s">
        <v>179</v>
      </c>
      <c r="J182" s="35" t="s">
        <v>207</v>
      </c>
      <c r="K182" s="7" t="s">
        <v>1056</v>
      </c>
      <c r="L182" s="7" t="s">
        <v>1057</v>
      </c>
      <c r="M182" s="7" t="s">
        <v>576</v>
      </c>
      <c r="N182" s="7" t="s">
        <v>215</v>
      </c>
      <c r="O182" s="7" t="s">
        <v>179</v>
      </c>
      <c r="P182" s="35" t="str">
        <f aca="true">IF(ISNUMBER(O182),O182-TODAY(),"")</f>
        <v/>
      </c>
      <c r="Q182" s="7" t="s">
        <v>179</v>
      </c>
      <c r="R182" s="36" t="n">
        <v>1100</v>
      </c>
      <c r="S182" s="36" t="n">
        <v>1500</v>
      </c>
      <c r="T182" s="37" t="n">
        <f aca="false">IF(R182="","",AVERAGE(R182,S182))</f>
        <v>1300</v>
      </c>
      <c r="U182" s="7" t="s">
        <v>547</v>
      </c>
      <c r="V182" s="38" t="s">
        <v>318</v>
      </c>
      <c r="W182" s="38" t="n">
        <v>3.5</v>
      </c>
      <c r="X182" s="38" t="n">
        <v>3.5</v>
      </c>
      <c r="Y182" s="35" t="n">
        <f aca="false">ROUND(0.6*W182+0.4*X182,1)</f>
        <v>3.5</v>
      </c>
      <c r="Z182" s="38" t="s">
        <v>518</v>
      </c>
      <c r="AA182" s="38" t="n">
        <v>0.3</v>
      </c>
      <c r="AB182" s="39" t="n">
        <f aca="false">1-AA182*(1-INDEX('Perfil e pressupostos'!$C$14:$C$20,MATCH(Z182,'Perfil e pressupostos'!$A$14:$A$20,0)))</f>
        <v>1</v>
      </c>
      <c r="AC182" s="38" t="n">
        <v>0.9</v>
      </c>
      <c r="AD182" s="38" t="n">
        <v>0.7</v>
      </c>
      <c r="AE182" s="38" t="n">
        <v>0.7</v>
      </c>
      <c r="AF182" s="40" t="n">
        <f aca="false">100*('Perfil e pressupostos'!$F$14*AB182+'Perfil e pressupostos'!$F$15*AC182+'Perfil e pressupostos'!$F$16*AD182+'Perfil e pressupostos'!$F$17*AE182)/'Perfil e pressupostos'!$F$18</f>
        <v>85</v>
      </c>
      <c r="AG182" s="41" t="n">
        <f aca="false">INDEX('Perfil e pressupostos'!$B$25:$B$28,MATCH(V182,'Perfil e pressupostos'!$A$25:$A$28,0))</f>
        <v>0.08</v>
      </c>
      <c r="AH182" s="41" t="n">
        <f aca="false">MIN('Perfil e pressupostos'!$F$29,AG182*('Perfil e pressupostos'!$F$25+'Perfil e pressupostos'!$F$26*AF182/100)*IF(AD182&lt;='Perfil e pressupostos'!$F$28,'Perfil e pressupostos'!$F$27,1))</f>
        <v>0.1136</v>
      </c>
      <c r="AI182" s="35" t="str">
        <f aca="false">IF(AQ182=0,"—",IF(AH182&gt;='Perfil e pressupostos'!$F$30,"Boa",IF(AH182&gt;='Perfil e pressupostos'!$F$31,"Média","Baixa")))</f>
        <v>—</v>
      </c>
      <c r="AJ182" s="7" t="s">
        <v>952</v>
      </c>
      <c r="AK182" s="7" t="s">
        <v>1058</v>
      </c>
      <c r="AL182" s="35" t="str">
        <f aca="false">IF(AK182="Prazo expirado","Prazo passado",IF(LEFT(AK182,11)="Monitorizar","Monitorizar",IF(Y182&gt;=3.5,"Prioridade",IF(Y182&gt;=3,"Candidatar (reach)","Reserva"))))</f>
        <v>Monitorizar</v>
      </c>
      <c r="AM182" s="7" t="s">
        <v>1059</v>
      </c>
      <c r="AN182" s="42" t="s">
        <v>1060</v>
      </c>
      <c r="AO182" s="7" t="s">
        <v>295</v>
      </c>
      <c r="AP182" s="7" t="s">
        <v>218</v>
      </c>
      <c r="AQ182" s="7" t="n">
        <f aca="false">IF(OR(AK182="Prazo expirado",LEFT(AK182,11)="Monitorizar"),0,1)</f>
        <v>0</v>
      </c>
      <c r="AR182" s="41" t="n">
        <f aca="false">IF(AQ182=0,0,AH182)</f>
        <v>0</v>
      </c>
      <c r="AS182" s="41" t="n">
        <f aca="false">AR182*W182/5</f>
        <v>0</v>
      </c>
      <c r="AT182" s="43" t="n">
        <f aca="false">AS182+W182/1000000+(1000-ROW())/1000000000</f>
        <v>4.318E-006</v>
      </c>
      <c r="AU182" s="35" t="n">
        <f aca="false">RANK(AT182,$AT$4:$AT$227)</f>
        <v>205</v>
      </c>
      <c r="AV182" s="40" t="str">
        <f aca="false">IF(AQ182=0,"",AF182)</f>
        <v/>
      </c>
      <c r="AW182" s="41" t="str">
        <f aca="false">IF(AQ182=0,"",AH182)</f>
        <v/>
      </c>
    </row>
    <row r="183" customFormat="false" ht="33.75" hidden="false" customHeight="true" outlineLevel="0" collapsed="false">
      <c r="A183" s="35" t="n">
        <v>180</v>
      </c>
      <c r="B183" s="7" t="s">
        <v>1061</v>
      </c>
      <c r="C183" s="7" t="s">
        <v>1062</v>
      </c>
      <c r="D183" s="7" t="s">
        <v>1063</v>
      </c>
      <c r="E183" s="7" t="s">
        <v>325</v>
      </c>
      <c r="F183" s="35" t="s">
        <v>89</v>
      </c>
      <c r="G183" s="7" t="s">
        <v>311</v>
      </c>
      <c r="H183" s="7" t="s">
        <v>172</v>
      </c>
      <c r="I183" s="7" t="s">
        <v>179</v>
      </c>
      <c r="J183" s="35" t="s">
        <v>207</v>
      </c>
      <c r="K183" s="7" t="s">
        <v>1064</v>
      </c>
      <c r="L183" s="7" t="s">
        <v>1065</v>
      </c>
      <c r="M183" s="7" t="s">
        <v>513</v>
      </c>
      <c r="N183" s="7" t="s">
        <v>1066</v>
      </c>
      <c r="O183" s="7" t="s">
        <v>179</v>
      </c>
      <c r="P183" s="35" t="str">
        <f aca="true">IF(ISNUMBER(O183),O183-TODAY(),"")</f>
        <v/>
      </c>
      <c r="Q183" s="7" t="s">
        <v>179</v>
      </c>
      <c r="R183" s="36" t="n">
        <v>1200</v>
      </c>
      <c r="S183" s="36" t="n">
        <v>1500</v>
      </c>
      <c r="T183" s="37" t="n">
        <f aca="false">IF(R183="","",AVERAGE(R183,S183))</f>
        <v>1350</v>
      </c>
      <c r="U183" s="7" t="s">
        <v>547</v>
      </c>
      <c r="V183" s="38" t="s">
        <v>318</v>
      </c>
      <c r="W183" s="38" t="n">
        <v>3</v>
      </c>
      <c r="X183" s="38" t="n">
        <v>4.2</v>
      </c>
      <c r="Y183" s="35" t="n">
        <f aca="false">ROUND(0.6*W183+0.4*X183,1)</f>
        <v>3.5</v>
      </c>
      <c r="Z183" s="38" t="s">
        <v>518</v>
      </c>
      <c r="AA183" s="38" t="n">
        <v>0.3</v>
      </c>
      <c r="AB183" s="39" t="n">
        <f aca="false">1-AA183*(1-INDEX('Perfil e pressupostos'!$C$14:$C$20,MATCH(Z183,'Perfil e pressupostos'!$A$14:$A$20,0)))</f>
        <v>1</v>
      </c>
      <c r="AC183" s="38" t="n">
        <v>0.9</v>
      </c>
      <c r="AD183" s="38" t="n">
        <v>1</v>
      </c>
      <c r="AE183" s="38" t="n">
        <v>0.7</v>
      </c>
      <c r="AF183" s="40" t="n">
        <f aca="false">100*('Perfil e pressupostos'!$F$14*AB183+'Perfil e pressupostos'!$F$15*AC183+'Perfil e pressupostos'!$F$16*AD183+'Perfil e pressupostos'!$F$17*AE183)/'Perfil e pressupostos'!$F$18</f>
        <v>92.5</v>
      </c>
      <c r="AG183" s="41" t="n">
        <f aca="false">INDEX('Perfil e pressupostos'!$B$25:$B$28,MATCH(V183,'Perfil e pressupostos'!$A$25:$A$28,0))</f>
        <v>0.08</v>
      </c>
      <c r="AH183" s="41" t="n">
        <f aca="false">MIN('Perfil e pressupostos'!$F$29,AG183*('Perfil e pressupostos'!$F$25+'Perfil e pressupostos'!$F$26*AF183/100)*IF(AD183&lt;='Perfil e pressupostos'!$F$28,'Perfil e pressupostos'!$F$27,1))</f>
        <v>0.1208</v>
      </c>
      <c r="AI183" s="35" t="str">
        <f aca="false">IF(AQ183=0,"—",IF(AH183&gt;='Perfil e pressupostos'!$F$30,"Boa",IF(AH183&gt;='Perfil e pressupostos'!$F$31,"Média","Baixa")))</f>
        <v>Boa</v>
      </c>
      <c r="AJ183" s="7" t="s">
        <v>961</v>
      </c>
      <c r="AK183" s="7" t="s">
        <v>184</v>
      </c>
      <c r="AL183" s="35" t="str">
        <f aca="false">IF(AK183="Prazo expirado","Prazo passado",IF(LEFT(AK183,11)="Monitorizar","Monitorizar",IF(Y183&gt;=3.5,"Prioridade",IF(Y183&gt;=3,"Candidatar (reach)","Reserva"))))</f>
        <v>Prioridade</v>
      </c>
      <c r="AM183" s="7" t="s">
        <v>1067</v>
      </c>
      <c r="AN183" s="42" t="s">
        <v>1068</v>
      </c>
      <c r="AO183" s="7" t="s">
        <v>187</v>
      </c>
      <c r="AP183" s="7" t="s">
        <v>188</v>
      </c>
      <c r="AQ183" s="7" t="n">
        <f aca="false">IF(OR(AK183="Prazo expirado",LEFT(AK183,11)="Monitorizar"),0,1)</f>
        <v>1</v>
      </c>
      <c r="AR183" s="41" t="n">
        <f aca="false">IF(AQ183=0,0,AH183)</f>
        <v>0.1208</v>
      </c>
      <c r="AS183" s="41" t="n">
        <f aca="false">AR183*W183/5</f>
        <v>0.07248</v>
      </c>
      <c r="AT183" s="43" t="n">
        <f aca="false">AS183+W183/1000000+(1000-ROW())/1000000000</f>
        <v>0.072483817</v>
      </c>
      <c r="AU183" s="35" t="n">
        <f aca="false">RANK(AT183,$AT$4:$AT$227)</f>
        <v>15</v>
      </c>
      <c r="AV183" s="40" t="n">
        <f aca="false">IF(AQ183=0,"",AF183)</f>
        <v>92.5</v>
      </c>
      <c r="AW183" s="41" t="n">
        <f aca="false">IF(AQ183=0,"",AH183)</f>
        <v>0.1208</v>
      </c>
    </row>
    <row r="184" customFormat="false" ht="33.75" hidden="false" customHeight="true" outlineLevel="0" collapsed="false">
      <c r="A184" s="35" t="n">
        <v>181</v>
      </c>
      <c r="B184" s="7" t="s">
        <v>1061</v>
      </c>
      <c r="C184" s="7" t="s">
        <v>1069</v>
      </c>
      <c r="D184" s="7" t="s">
        <v>1070</v>
      </c>
      <c r="E184" s="7" t="s">
        <v>325</v>
      </c>
      <c r="F184" s="35" t="s">
        <v>89</v>
      </c>
      <c r="G184" s="7" t="s">
        <v>311</v>
      </c>
      <c r="H184" s="7" t="s">
        <v>172</v>
      </c>
      <c r="I184" s="7" t="s">
        <v>179</v>
      </c>
      <c r="J184" s="35" t="s">
        <v>207</v>
      </c>
      <c r="K184" s="7" t="s">
        <v>604</v>
      </c>
      <c r="L184" s="7" t="s">
        <v>605</v>
      </c>
      <c r="M184" s="7" t="s">
        <v>576</v>
      </c>
      <c r="N184" s="7" t="s">
        <v>215</v>
      </c>
      <c r="O184" s="7" t="s">
        <v>179</v>
      </c>
      <c r="P184" s="35" t="str">
        <f aca="true">IF(ISNUMBER(O184),O184-TODAY(),"")</f>
        <v/>
      </c>
      <c r="Q184" s="7" t="s">
        <v>179</v>
      </c>
      <c r="R184" s="36" t="n">
        <v>1200</v>
      </c>
      <c r="S184" s="36" t="n">
        <v>1500</v>
      </c>
      <c r="T184" s="37" t="n">
        <f aca="false">IF(R184="","",AVERAGE(R184,S184))</f>
        <v>1350</v>
      </c>
      <c r="U184" s="7" t="s">
        <v>547</v>
      </c>
      <c r="V184" s="38" t="s">
        <v>318</v>
      </c>
      <c r="W184" s="38" t="n">
        <v>3</v>
      </c>
      <c r="X184" s="38" t="n">
        <v>4.2</v>
      </c>
      <c r="Y184" s="35" t="n">
        <f aca="false">ROUND(0.6*W184+0.4*X184,1)</f>
        <v>3.5</v>
      </c>
      <c r="Z184" s="38" t="s">
        <v>518</v>
      </c>
      <c r="AA184" s="38" t="n">
        <v>0.3</v>
      </c>
      <c r="AB184" s="39" t="n">
        <f aca="false">1-AA184*(1-INDEX('Perfil e pressupostos'!$C$14:$C$20,MATCH(Z184,'Perfil e pressupostos'!$A$14:$A$20,0)))</f>
        <v>1</v>
      </c>
      <c r="AC184" s="38" t="n">
        <v>0.9</v>
      </c>
      <c r="AD184" s="38" t="n">
        <v>1</v>
      </c>
      <c r="AE184" s="38" t="n">
        <v>0.7</v>
      </c>
      <c r="AF184" s="40" t="n">
        <f aca="false">100*('Perfil e pressupostos'!$F$14*AB184+'Perfil e pressupostos'!$F$15*AC184+'Perfil e pressupostos'!$F$16*AD184+'Perfil e pressupostos'!$F$17*AE184)/'Perfil e pressupostos'!$F$18</f>
        <v>92.5</v>
      </c>
      <c r="AG184" s="41" t="n">
        <f aca="false">INDEX('Perfil e pressupostos'!$B$25:$B$28,MATCH(V184,'Perfil e pressupostos'!$A$25:$A$28,0))</f>
        <v>0.08</v>
      </c>
      <c r="AH184" s="41" t="n">
        <f aca="false">MIN('Perfil e pressupostos'!$F$29,AG184*('Perfil e pressupostos'!$F$25+'Perfil e pressupostos'!$F$26*AF184/100)*IF(AD184&lt;='Perfil e pressupostos'!$F$28,'Perfil e pressupostos'!$F$27,1))</f>
        <v>0.1208</v>
      </c>
      <c r="AI184" s="35" t="str">
        <f aca="false">IF(AQ184=0,"—",IF(AH184&gt;='Perfil e pressupostos'!$F$30,"Boa",IF(AH184&gt;='Perfil e pressupostos'!$F$31,"Média","Baixa")))</f>
        <v>Boa</v>
      </c>
      <c r="AJ184" s="7" t="s">
        <v>961</v>
      </c>
      <c r="AK184" s="7" t="s">
        <v>184</v>
      </c>
      <c r="AL184" s="35" t="str">
        <f aca="false">IF(AK184="Prazo expirado","Prazo passado",IF(LEFT(AK184,11)="Monitorizar","Monitorizar",IF(Y184&gt;=3.5,"Prioridade",IF(Y184&gt;=3,"Candidatar (reach)","Reserva"))))</f>
        <v>Prioridade</v>
      </c>
      <c r="AM184" s="7" t="s">
        <v>1071</v>
      </c>
      <c r="AN184" s="42" t="s">
        <v>1072</v>
      </c>
      <c r="AO184" s="7" t="s">
        <v>187</v>
      </c>
      <c r="AP184" s="7" t="s">
        <v>218</v>
      </c>
      <c r="AQ184" s="7" t="n">
        <f aca="false">IF(OR(AK184="Prazo expirado",LEFT(AK184,11)="Monitorizar"),0,1)</f>
        <v>1</v>
      </c>
      <c r="AR184" s="41" t="n">
        <f aca="false">IF(AQ184=0,0,AH184)</f>
        <v>0.1208</v>
      </c>
      <c r="AS184" s="41" t="n">
        <f aca="false">AR184*W184/5</f>
        <v>0.07248</v>
      </c>
      <c r="AT184" s="43" t="n">
        <f aca="false">AS184+W184/1000000+(1000-ROW())/1000000000</f>
        <v>0.072483816</v>
      </c>
      <c r="AU184" s="35" t="n">
        <f aca="false">RANK(AT184,$AT$4:$AT$227)</f>
        <v>16</v>
      </c>
      <c r="AV184" s="40" t="n">
        <f aca="false">IF(AQ184=0,"",AF184)</f>
        <v>92.5</v>
      </c>
      <c r="AW184" s="41" t="n">
        <f aca="false">IF(AQ184=0,"",AH184)</f>
        <v>0.1208</v>
      </c>
    </row>
    <row r="185" customFormat="false" ht="33.75" hidden="false" customHeight="true" outlineLevel="0" collapsed="false">
      <c r="A185" s="35" t="n">
        <v>182</v>
      </c>
      <c r="B185" s="7" t="s">
        <v>1073</v>
      </c>
      <c r="C185" s="7" t="s">
        <v>1074</v>
      </c>
      <c r="D185" s="7" t="s">
        <v>1075</v>
      </c>
      <c r="E185" s="7" t="s">
        <v>325</v>
      </c>
      <c r="F185" s="35" t="s">
        <v>89</v>
      </c>
      <c r="G185" s="7" t="s">
        <v>311</v>
      </c>
      <c r="H185" s="7" t="s">
        <v>172</v>
      </c>
      <c r="I185" s="7" t="s">
        <v>179</v>
      </c>
      <c r="J185" s="35" t="s">
        <v>207</v>
      </c>
      <c r="K185" s="7" t="s">
        <v>1076</v>
      </c>
      <c r="L185" s="7" t="s">
        <v>1077</v>
      </c>
      <c r="M185" s="7" t="s">
        <v>576</v>
      </c>
      <c r="N185" s="7" t="s">
        <v>215</v>
      </c>
      <c r="O185" s="44" t="n">
        <v>46310</v>
      </c>
      <c r="P185" s="35" t="n">
        <f aca="true">IF(ISNUMBER(O185),O185-TODAY(),"")</f>
        <v>-2</v>
      </c>
      <c r="Q185" s="7" t="s">
        <v>179</v>
      </c>
      <c r="R185" s="36" t="n">
        <v>1000</v>
      </c>
      <c r="S185" s="36" t="n">
        <v>1300</v>
      </c>
      <c r="T185" s="37" t="n">
        <f aca="false">IF(R185="","",AVERAGE(R185,S185))</f>
        <v>1150</v>
      </c>
      <c r="U185" s="7" t="s">
        <v>547</v>
      </c>
      <c r="V185" s="38" t="s">
        <v>318</v>
      </c>
      <c r="W185" s="38" t="n">
        <v>3</v>
      </c>
      <c r="X185" s="38" t="n">
        <v>4.2</v>
      </c>
      <c r="Y185" s="35" t="n">
        <f aca="false">ROUND(0.6*W185+0.4*X185,1)</f>
        <v>3.5</v>
      </c>
      <c r="Z185" s="38" t="s">
        <v>518</v>
      </c>
      <c r="AA185" s="38" t="n">
        <v>0.3</v>
      </c>
      <c r="AB185" s="39" t="n">
        <f aca="false">1-AA185*(1-INDEX('Perfil e pressupostos'!$C$14:$C$20,MATCH(Z185,'Perfil e pressupostos'!$A$14:$A$20,0)))</f>
        <v>1</v>
      </c>
      <c r="AC185" s="38" t="n">
        <v>0.9</v>
      </c>
      <c r="AD185" s="38" t="n">
        <v>1</v>
      </c>
      <c r="AE185" s="38" t="n">
        <v>0.7</v>
      </c>
      <c r="AF185" s="40" t="n">
        <f aca="false">100*('Perfil e pressupostos'!$F$14*AB185+'Perfil e pressupostos'!$F$15*AC185+'Perfil e pressupostos'!$F$16*AD185+'Perfil e pressupostos'!$F$17*AE185)/'Perfil e pressupostos'!$F$18</f>
        <v>92.5</v>
      </c>
      <c r="AG185" s="41" t="n">
        <f aca="false">INDEX('Perfil e pressupostos'!$B$25:$B$28,MATCH(V185,'Perfil e pressupostos'!$A$25:$A$28,0))</f>
        <v>0.08</v>
      </c>
      <c r="AH185" s="41" t="n">
        <f aca="false">MIN('Perfil e pressupostos'!$F$29,AG185*('Perfil e pressupostos'!$F$25+'Perfil e pressupostos'!$F$26*AF185/100)*IF(AD185&lt;='Perfil e pressupostos'!$F$28,'Perfil e pressupostos'!$F$27,1))</f>
        <v>0.1208</v>
      </c>
      <c r="AI185" s="35" t="str">
        <f aca="false">IF(AQ185=0,"—",IF(AH185&gt;='Perfil e pressupostos'!$F$30,"Boa",IF(AH185&gt;='Perfil e pressupostos'!$F$31,"Média","Baixa")))</f>
        <v>—</v>
      </c>
      <c r="AJ185" s="7" t="s">
        <v>961</v>
      </c>
      <c r="AK185" s="7" t="s">
        <v>292</v>
      </c>
      <c r="AL185" s="35" t="str">
        <f aca="false">IF(AK185="Prazo expirado","Prazo passado",IF(LEFT(AK185,11)="Monitorizar","Monitorizar",IF(Y185&gt;=3.5,"Prioridade",IF(Y185&gt;=3,"Candidatar (reach)","Reserva"))))</f>
        <v>Prazo passado</v>
      </c>
      <c r="AM185" s="7" t="s">
        <v>1078</v>
      </c>
      <c r="AN185" s="42" t="s">
        <v>1079</v>
      </c>
      <c r="AO185" s="7" t="s">
        <v>295</v>
      </c>
      <c r="AP185" s="7" t="s">
        <v>188</v>
      </c>
      <c r="AQ185" s="7" t="n">
        <f aca="false">IF(OR(AK185="Prazo expirado",LEFT(AK185,11)="Monitorizar"),0,1)</f>
        <v>0</v>
      </c>
      <c r="AR185" s="41" t="n">
        <f aca="false">IF(AQ185=0,0,AH185)</f>
        <v>0</v>
      </c>
      <c r="AS185" s="41" t="n">
        <f aca="false">AR185*W185/5</f>
        <v>0</v>
      </c>
      <c r="AT185" s="43" t="n">
        <f aca="false">AS185+W185/1000000+(1000-ROW())/1000000000</f>
        <v>3.815E-006</v>
      </c>
      <c r="AU185" s="35" t="n">
        <f aca="false">RANK(AT185,$AT$4:$AT$227)</f>
        <v>209</v>
      </c>
      <c r="AV185" s="40" t="str">
        <f aca="false">IF(AQ185=0,"",AF185)</f>
        <v/>
      </c>
      <c r="AW185" s="41" t="str">
        <f aca="false">IF(AQ185=0,"",AH185)</f>
        <v/>
      </c>
    </row>
    <row r="186" customFormat="false" ht="33.75" hidden="false" customHeight="true" outlineLevel="0" collapsed="false">
      <c r="A186" s="35" t="n">
        <v>183</v>
      </c>
      <c r="B186" s="7" t="s">
        <v>1080</v>
      </c>
      <c r="C186" s="7" t="s">
        <v>1081</v>
      </c>
      <c r="D186" s="7" t="s">
        <v>1082</v>
      </c>
      <c r="E186" s="7" t="s">
        <v>325</v>
      </c>
      <c r="F186" s="35" t="s">
        <v>89</v>
      </c>
      <c r="G186" s="7" t="s">
        <v>311</v>
      </c>
      <c r="H186" s="7" t="s">
        <v>172</v>
      </c>
      <c r="I186" s="7" t="s">
        <v>179</v>
      </c>
      <c r="J186" s="35" t="s">
        <v>965</v>
      </c>
      <c r="K186" s="7" t="s">
        <v>1083</v>
      </c>
      <c r="L186" s="7" t="s">
        <v>1084</v>
      </c>
      <c r="M186" s="7" t="s">
        <v>576</v>
      </c>
      <c r="N186" s="7" t="s">
        <v>215</v>
      </c>
      <c r="O186" s="7" t="s">
        <v>179</v>
      </c>
      <c r="P186" s="35" t="str">
        <f aca="true">IF(ISNUMBER(O186),O186-TODAY(),"")</f>
        <v/>
      </c>
      <c r="Q186" s="7" t="s">
        <v>179</v>
      </c>
      <c r="R186" s="36" t="n">
        <v>1200</v>
      </c>
      <c r="S186" s="36" t="n">
        <v>1500</v>
      </c>
      <c r="T186" s="37" t="n">
        <f aca="false">IF(R186="","",AVERAGE(R186,S186))</f>
        <v>1350</v>
      </c>
      <c r="U186" s="7" t="s">
        <v>547</v>
      </c>
      <c r="V186" s="38" t="s">
        <v>318</v>
      </c>
      <c r="W186" s="38" t="n">
        <v>3</v>
      </c>
      <c r="X186" s="38" t="n">
        <v>4.2</v>
      </c>
      <c r="Y186" s="35" t="n">
        <f aca="false">ROUND(0.6*W186+0.4*X186,1)</f>
        <v>3.5</v>
      </c>
      <c r="Z186" s="38" t="s">
        <v>518</v>
      </c>
      <c r="AA186" s="38" t="n">
        <v>0.3</v>
      </c>
      <c r="AB186" s="39" t="n">
        <f aca="false">1-AA186*(1-INDEX('Perfil e pressupostos'!$C$14:$C$20,MATCH(Z186,'Perfil e pressupostos'!$A$14:$A$20,0)))</f>
        <v>1</v>
      </c>
      <c r="AC186" s="38" t="n">
        <v>0.9</v>
      </c>
      <c r="AD186" s="38" t="n">
        <v>1</v>
      </c>
      <c r="AE186" s="38" t="n">
        <v>0.7</v>
      </c>
      <c r="AF186" s="40" t="n">
        <f aca="false">100*('Perfil e pressupostos'!$F$14*AB186+'Perfil e pressupostos'!$F$15*AC186+'Perfil e pressupostos'!$F$16*AD186+'Perfil e pressupostos'!$F$17*AE186)/'Perfil e pressupostos'!$F$18</f>
        <v>92.5</v>
      </c>
      <c r="AG186" s="41" t="n">
        <f aca="false">INDEX('Perfil e pressupostos'!$B$25:$B$28,MATCH(V186,'Perfil e pressupostos'!$A$25:$A$28,0))</f>
        <v>0.08</v>
      </c>
      <c r="AH186" s="41" t="n">
        <f aca="false">MIN('Perfil e pressupostos'!$F$29,AG186*('Perfil e pressupostos'!$F$25+'Perfil e pressupostos'!$F$26*AF186/100)*IF(AD186&lt;='Perfil e pressupostos'!$F$28,'Perfil e pressupostos'!$F$27,1))</f>
        <v>0.1208</v>
      </c>
      <c r="AI186" s="35" t="str">
        <f aca="false">IF(AQ186=0,"—",IF(AH186&gt;='Perfil e pressupostos'!$F$30,"Boa",IF(AH186&gt;='Perfil e pressupostos'!$F$31,"Média","Baixa")))</f>
        <v>—</v>
      </c>
      <c r="AJ186" s="7" t="s">
        <v>961</v>
      </c>
      <c r="AK186" s="7" t="s">
        <v>1058</v>
      </c>
      <c r="AL186" s="35" t="str">
        <f aca="false">IF(AK186="Prazo expirado","Prazo passado",IF(LEFT(AK186,11)="Monitorizar","Monitorizar",IF(Y186&gt;=3.5,"Prioridade",IF(Y186&gt;=3,"Candidatar (reach)","Reserva"))))</f>
        <v>Monitorizar</v>
      </c>
      <c r="AM186" s="7" t="s">
        <v>1085</v>
      </c>
      <c r="AN186" s="42" t="s">
        <v>1086</v>
      </c>
      <c r="AO186" s="7" t="s">
        <v>187</v>
      </c>
      <c r="AP186" s="7" t="s">
        <v>218</v>
      </c>
      <c r="AQ186" s="7" t="n">
        <f aca="false">IF(OR(AK186="Prazo expirado",LEFT(AK186,11)="Monitorizar"),0,1)</f>
        <v>0</v>
      </c>
      <c r="AR186" s="41" t="n">
        <f aca="false">IF(AQ186=0,0,AH186)</f>
        <v>0</v>
      </c>
      <c r="AS186" s="41" t="n">
        <f aca="false">AR186*W186/5</f>
        <v>0</v>
      </c>
      <c r="AT186" s="43" t="n">
        <f aca="false">AS186+W186/1000000+(1000-ROW())/1000000000</f>
        <v>3.814E-006</v>
      </c>
      <c r="AU186" s="35" t="n">
        <f aca="false">RANK(AT186,$AT$4:$AT$227)</f>
        <v>210</v>
      </c>
      <c r="AV186" s="40" t="str">
        <f aca="false">IF(AQ186=0,"",AF186)</f>
        <v/>
      </c>
      <c r="AW186" s="41" t="str">
        <f aca="false">IF(AQ186=0,"",AH186)</f>
        <v/>
      </c>
    </row>
    <row r="187" customFormat="false" ht="33.75" hidden="false" customHeight="true" outlineLevel="0" collapsed="false">
      <c r="A187" s="35" t="n">
        <v>184</v>
      </c>
      <c r="B187" s="7" t="s">
        <v>1087</v>
      </c>
      <c r="C187" s="7" t="s">
        <v>1088</v>
      </c>
      <c r="D187" s="7" t="s">
        <v>1089</v>
      </c>
      <c r="E187" s="7" t="s">
        <v>325</v>
      </c>
      <c r="F187" s="35" t="s">
        <v>89</v>
      </c>
      <c r="G187" s="7" t="s">
        <v>311</v>
      </c>
      <c r="H187" s="7" t="s">
        <v>172</v>
      </c>
      <c r="I187" s="7" t="s">
        <v>179</v>
      </c>
      <c r="J187" s="35" t="s">
        <v>207</v>
      </c>
      <c r="K187" s="7" t="s">
        <v>604</v>
      </c>
      <c r="L187" s="7" t="s">
        <v>605</v>
      </c>
      <c r="M187" s="7" t="s">
        <v>576</v>
      </c>
      <c r="N187" s="7" t="s">
        <v>215</v>
      </c>
      <c r="O187" s="7" t="s">
        <v>179</v>
      </c>
      <c r="P187" s="35" t="str">
        <f aca="true">IF(ISNUMBER(O187),O187-TODAY(),"")</f>
        <v/>
      </c>
      <c r="Q187" s="7" t="s">
        <v>179</v>
      </c>
      <c r="R187" s="36" t="n">
        <v>1100</v>
      </c>
      <c r="S187" s="36" t="n">
        <v>1400</v>
      </c>
      <c r="T187" s="37" t="n">
        <f aca="false">IF(R187="","",AVERAGE(R187,S187))</f>
        <v>1250</v>
      </c>
      <c r="U187" s="7" t="s">
        <v>547</v>
      </c>
      <c r="V187" s="38" t="s">
        <v>318</v>
      </c>
      <c r="W187" s="38" t="n">
        <v>3</v>
      </c>
      <c r="X187" s="38" t="n">
        <v>4.2</v>
      </c>
      <c r="Y187" s="35" t="n">
        <f aca="false">ROUND(0.6*W187+0.4*X187,1)</f>
        <v>3.5</v>
      </c>
      <c r="Z187" s="38" t="s">
        <v>518</v>
      </c>
      <c r="AA187" s="38" t="n">
        <v>0.3</v>
      </c>
      <c r="AB187" s="39" t="n">
        <f aca="false">1-AA187*(1-INDEX('Perfil e pressupostos'!$C$14:$C$20,MATCH(Z187,'Perfil e pressupostos'!$A$14:$A$20,0)))</f>
        <v>1</v>
      </c>
      <c r="AC187" s="38" t="n">
        <v>0.9</v>
      </c>
      <c r="AD187" s="38" t="n">
        <v>1</v>
      </c>
      <c r="AE187" s="38" t="n">
        <v>0.7</v>
      </c>
      <c r="AF187" s="40" t="n">
        <f aca="false">100*('Perfil e pressupostos'!$F$14*AB187+'Perfil e pressupostos'!$F$15*AC187+'Perfil e pressupostos'!$F$16*AD187+'Perfil e pressupostos'!$F$17*AE187)/'Perfil e pressupostos'!$F$18</f>
        <v>92.5</v>
      </c>
      <c r="AG187" s="41" t="n">
        <f aca="false">INDEX('Perfil e pressupostos'!$B$25:$B$28,MATCH(V187,'Perfil e pressupostos'!$A$25:$A$28,0))</f>
        <v>0.08</v>
      </c>
      <c r="AH187" s="41" t="n">
        <f aca="false">MIN('Perfil e pressupostos'!$F$29,AG187*('Perfil e pressupostos'!$F$25+'Perfil e pressupostos'!$F$26*AF187/100)*IF(AD187&lt;='Perfil e pressupostos'!$F$28,'Perfil e pressupostos'!$F$27,1))</f>
        <v>0.1208</v>
      </c>
      <c r="AI187" s="35" t="str">
        <f aca="false">IF(AQ187=0,"—",IF(AH187&gt;='Perfil e pressupostos'!$F$30,"Boa",IF(AH187&gt;='Perfil e pressupostos'!$F$31,"Média","Baixa")))</f>
        <v>Boa</v>
      </c>
      <c r="AJ187" s="7" t="s">
        <v>961</v>
      </c>
      <c r="AK187" s="7" t="s">
        <v>184</v>
      </c>
      <c r="AL187" s="35" t="str">
        <f aca="false">IF(AK187="Prazo expirado","Prazo passado",IF(LEFT(AK187,11)="Monitorizar","Monitorizar",IF(Y187&gt;=3.5,"Prioridade",IF(Y187&gt;=3,"Candidatar (reach)","Reserva"))))</f>
        <v>Prioridade</v>
      </c>
      <c r="AM187" s="7" t="s">
        <v>1090</v>
      </c>
      <c r="AN187" s="42" t="s">
        <v>1091</v>
      </c>
      <c r="AO187" s="7" t="s">
        <v>295</v>
      </c>
      <c r="AP187" s="7" t="s">
        <v>218</v>
      </c>
      <c r="AQ187" s="7" t="n">
        <f aca="false">IF(OR(AK187="Prazo expirado",LEFT(AK187,11)="Monitorizar"),0,1)</f>
        <v>1</v>
      </c>
      <c r="AR187" s="41" t="n">
        <f aca="false">IF(AQ187=0,0,AH187)</f>
        <v>0.1208</v>
      </c>
      <c r="AS187" s="41" t="n">
        <f aca="false">AR187*W187/5</f>
        <v>0.07248</v>
      </c>
      <c r="AT187" s="43" t="n">
        <f aca="false">AS187+W187/1000000+(1000-ROW())/1000000000</f>
        <v>0.072483813</v>
      </c>
      <c r="AU187" s="35" t="n">
        <f aca="false">RANK(AT187,$AT$4:$AT$227)</f>
        <v>17</v>
      </c>
      <c r="AV187" s="40" t="n">
        <f aca="false">IF(AQ187=0,"",AF187)</f>
        <v>92.5</v>
      </c>
      <c r="AW187" s="41" t="n">
        <f aca="false">IF(AQ187=0,"",AH187)</f>
        <v>0.1208</v>
      </c>
    </row>
    <row r="188" customFormat="false" ht="22.5" hidden="false" customHeight="true" outlineLevel="0" collapsed="false">
      <c r="A188" s="35" t="n">
        <v>185</v>
      </c>
      <c r="B188" s="7" t="s">
        <v>1087</v>
      </c>
      <c r="C188" s="7" t="s">
        <v>1092</v>
      </c>
      <c r="D188" s="7" t="s">
        <v>1093</v>
      </c>
      <c r="E188" s="7" t="s">
        <v>325</v>
      </c>
      <c r="F188" s="35" t="s">
        <v>89</v>
      </c>
      <c r="G188" s="7" t="s">
        <v>311</v>
      </c>
      <c r="H188" s="7" t="s">
        <v>172</v>
      </c>
      <c r="I188" s="7" t="s">
        <v>179</v>
      </c>
      <c r="J188" s="35" t="s">
        <v>207</v>
      </c>
      <c r="K188" s="7" t="s">
        <v>643</v>
      </c>
      <c r="L188" s="7" t="s">
        <v>644</v>
      </c>
      <c r="M188" s="7" t="s">
        <v>576</v>
      </c>
      <c r="N188" s="7" t="s">
        <v>215</v>
      </c>
      <c r="O188" s="7" t="s">
        <v>179</v>
      </c>
      <c r="P188" s="35" t="str">
        <f aca="true">IF(ISNUMBER(O188),O188-TODAY(),"")</f>
        <v/>
      </c>
      <c r="Q188" s="7" t="s">
        <v>179</v>
      </c>
      <c r="R188" s="36" t="n">
        <v>1000</v>
      </c>
      <c r="S188" s="36" t="n">
        <v>1300</v>
      </c>
      <c r="T188" s="37" t="n">
        <f aca="false">IF(R188="","",AVERAGE(R188,S188))</f>
        <v>1150</v>
      </c>
      <c r="U188" s="7" t="s">
        <v>547</v>
      </c>
      <c r="V188" s="38" t="s">
        <v>517</v>
      </c>
      <c r="W188" s="38" t="n">
        <v>2</v>
      </c>
      <c r="X188" s="38" t="n">
        <v>4.2</v>
      </c>
      <c r="Y188" s="35" t="n">
        <f aca="false">ROUND(0.6*W188+0.4*X188,1)</f>
        <v>2.9</v>
      </c>
      <c r="Z188" s="38" t="s">
        <v>518</v>
      </c>
      <c r="AA188" s="38" t="n">
        <v>0.3</v>
      </c>
      <c r="AB188" s="39" t="n">
        <f aca="false">1-AA188*(1-INDEX('Perfil e pressupostos'!$C$14:$C$20,MATCH(Z188,'Perfil e pressupostos'!$A$14:$A$20,0)))</f>
        <v>1</v>
      </c>
      <c r="AC188" s="38" t="n">
        <v>0.9</v>
      </c>
      <c r="AD188" s="38" t="n">
        <v>1</v>
      </c>
      <c r="AE188" s="38" t="n">
        <v>0.7</v>
      </c>
      <c r="AF188" s="40" t="n">
        <f aca="false">100*('Perfil e pressupostos'!$F$14*AB188+'Perfil e pressupostos'!$F$15*AC188+'Perfil e pressupostos'!$F$16*AD188+'Perfil e pressupostos'!$F$17*AE188)/'Perfil e pressupostos'!$F$18</f>
        <v>92.5</v>
      </c>
      <c r="AG188" s="41" t="n">
        <f aca="false">INDEX('Perfil e pressupostos'!$B$25:$B$28,MATCH(V188,'Perfil e pressupostos'!$A$25:$A$28,0))</f>
        <v>0.12</v>
      </c>
      <c r="AH188" s="41" t="n">
        <f aca="false">MIN('Perfil e pressupostos'!$F$29,AG188*('Perfil e pressupostos'!$F$25+'Perfil e pressupostos'!$F$26*AF188/100)*IF(AD188&lt;='Perfil e pressupostos'!$F$28,'Perfil e pressupostos'!$F$27,1))</f>
        <v>0.1812</v>
      </c>
      <c r="AI188" s="35" t="str">
        <f aca="false">IF(AQ188=0,"—",IF(AH188&gt;='Perfil e pressupostos'!$F$30,"Boa",IF(AH188&gt;='Perfil e pressupostos'!$F$31,"Média","Baixa")))</f>
        <v>Boa</v>
      </c>
      <c r="AJ188" s="7" t="s">
        <v>961</v>
      </c>
      <c r="AK188" s="7" t="s">
        <v>215</v>
      </c>
      <c r="AL188" s="35" t="str">
        <f aca="false">IF(AK188="Prazo expirado","Prazo passado",IF(LEFT(AK188,11)="Monitorizar","Monitorizar",IF(Y188&gt;=3.5,"Prioridade",IF(Y188&gt;=3,"Candidatar (reach)","Reserva"))))</f>
        <v>Reserva</v>
      </c>
      <c r="AM188" s="7" t="s">
        <v>548</v>
      </c>
      <c r="AN188" s="42" t="s">
        <v>1094</v>
      </c>
      <c r="AO188" s="7" t="s">
        <v>187</v>
      </c>
      <c r="AP188" s="7" t="s">
        <v>218</v>
      </c>
      <c r="AQ188" s="7" t="n">
        <f aca="false">IF(OR(AK188="Prazo expirado",LEFT(AK188,11)="Monitorizar"),0,1)</f>
        <v>1</v>
      </c>
      <c r="AR188" s="41" t="n">
        <f aca="false">IF(AQ188=0,0,AH188)</f>
        <v>0.1812</v>
      </c>
      <c r="AS188" s="41" t="n">
        <f aca="false">AR188*W188/5</f>
        <v>0.07248</v>
      </c>
      <c r="AT188" s="43" t="n">
        <f aca="false">AS188+W188/1000000+(1000-ROW())/1000000000</f>
        <v>0.072482812</v>
      </c>
      <c r="AU188" s="35" t="n">
        <f aca="false">RANK(AT188,$AT$4:$AT$227)</f>
        <v>20</v>
      </c>
      <c r="AV188" s="40" t="n">
        <f aca="false">IF(AQ188=0,"",AF188)</f>
        <v>92.5</v>
      </c>
      <c r="AW188" s="41" t="n">
        <f aca="false">IF(AQ188=0,"",AH188)</f>
        <v>0.1812</v>
      </c>
    </row>
    <row r="189" customFormat="false" ht="33.75" hidden="false" customHeight="true" outlineLevel="0" collapsed="false">
      <c r="A189" s="35" t="n">
        <v>186</v>
      </c>
      <c r="B189" s="7" t="s">
        <v>1095</v>
      </c>
      <c r="C189" s="7" t="s">
        <v>1096</v>
      </c>
      <c r="D189" s="7" t="s">
        <v>1097</v>
      </c>
      <c r="E189" s="7" t="s">
        <v>325</v>
      </c>
      <c r="F189" s="35" t="s">
        <v>89</v>
      </c>
      <c r="G189" s="7" t="s">
        <v>311</v>
      </c>
      <c r="H189" s="7" t="s">
        <v>172</v>
      </c>
      <c r="I189" s="7" t="s">
        <v>179</v>
      </c>
      <c r="J189" s="35" t="s">
        <v>174</v>
      </c>
      <c r="K189" s="7" t="s">
        <v>604</v>
      </c>
      <c r="L189" s="7" t="s">
        <v>605</v>
      </c>
      <c r="M189" s="7" t="s">
        <v>576</v>
      </c>
      <c r="N189" s="7" t="s">
        <v>215</v>
      </c>
      <c r="O189" s="7" t="s">
        <v>179</v>
      </c>
      <c r="P189" s="35" t="str">
        <f aca="true">IF(ISNUMBER(O189),O189-TODAY(),"")</f>
        <v/>
      </c>
      <c r="Q189" s="7" t="s">
        <v>179</v>
      </c>
      <c r="R189" s="36" t="n">
        <v>1000</v>
      </c>
      <c r="S189" s="36" t="n">
        <v>1400</v>
      </c>
      <c r="T189" s="37" t="n">
        <f aca="false">IF(R189="","",AVERAGE(R189,S189))</f>
        <v>1200</v>
      </c>
      <c r="U189" s="7" t="s">
        <v>547</v>
      </c>
      <c r="V189" s="38" t="s">
        <v>318</v>
      </c>
      <c r="W189" s="38" t="n">
        <v>3</v>
      </c>
      <c r="X189" s="38" t="n">
        <v>3.5</v>
      </c>
      <c r="Y189" s="35" t="n">
        <f aca="false">ROUND(0.6*W189+0.4*X189,1)</f>
        <v>3.2</v>
      </c>
      <c r="Z189" s="38" t="s">
        <v>182</v>
      </c>
      <c r="AA189" s="38" t="n">
        <v>0.8</v>
      </c>
      <c r="AB189" s="39" t="n">
        <f aca="false">1-AA189*(1-INDEX('Perfil e pressupostos'!$C$14:$C$20,MATCH(Z189,'Perfil e pressupostos'!$A$14:$A$20,0)))</f>
        <v>0.96</v>
      </c>
      <c r="AC189" s="38" t="n">
        <v>0.7</v>
      </c>
      <c r="AD189" s="38" t="n">
        <v>1</v>
      </c>
      <c r="AE189" s="38" t="n">
        <v>0.7</v>
      </c>
      <c r="AF189" s="40" t="n">
        <f aca="false">100*('Perfil e pressupostos'!$F$14*AB189+'Perfil e pressupostos'!$F$15*AC189+'Perfil e pressupostos'!$F$16*AD189+'Perfil e pressupostos'!$F$17*AE189)/'Perfil e pressupostos'!$F$18</f>
        <v>85.3</v>
      </c>
      <c r="AG189" s="41" t="n">
        <f aca="false">INDEX('Perfil e pressupostos'!$B$25:$B$28,MATCH(V189,'Perfil e pressupostos'!$A$25:$A$28,0))</f>
        <v>0.08</v>
      </c>
      <c r="AH189" s="41" t="n">
        <f aca="false">MIN('Perfil e pressupostos'!$F$29,AG189*('Perfil e pressupostos'!$F$25+'Perfil e pressupostos'!$F$26*AF189/100)*IF(AD189&lt;='Perfil e pressupostos'!$F$28,'Perfil e pressupostos'!$F$27,1))</f>
        <v>0.113888</v>
      </c>
      <c r="AI189" s="35" t="str">
        <f aca="false">IF(AQ189=0,"—",IF(AH189&gt;='Perfil e pressupostos'!$F$30,"Boa",IF(AH189&gt;='Perfil e pressupostos'!$F$31,"Média","Baixa")))</f>
        <v>Boa</v>
      </c>
      <c r="AJ189" s="7" t="s">
        <v>1098</v>
      </c>
      <c r="AK189" s="7" t="s">
        <v>215</v>
      </c>
      <c r="AL189" s="35" t="str">
        <f aca="false">IF(AK189="Prazo expirado","Prazo passado",IF(LEFT(AK189,11)="Monitorizar","Monitorizar",IF(Y189&gt;=3.5,"Prioridade",IF(Y189&gt;=3,"Candidatar (reach)","Reserva"))))</f>
        <v>Candidatar (reach)</v>
      </c>
      <c r="AM189" s="7" t="s">
        <v>1099</v>
      </c>
      <c r="AN189" s="42" t="s">
        <v>1100</v>
      </c>
      <c r="AO189" s="7" t="s">
        <v>361</v>
      </c>
      <c r="AP189" s="7" t="s">
        <v>218</v>
      </c>
      <c r="AQ189" s="7" t="n">
        <f aca="false">IF(OR(AK189="Prazo expirado",LEFT(AK189,11)="Monitorizar"),0,1)</f>
        <v>1</v>
      </c>
      <c r="AR189" s="41" t="n">
        <f aca="false">IF(AQ189=0,0,AH189)</f>
        <v>0.113888</v>
      </c>
      <c r="AS189" s="41" t="n">
        <f aca="false">AR189*W189/5</f>
        <v>0.0683328</v>
      </c>
      <c r="AT189" s="43" t="n">
        <f aca="false">AS189+W189/1000000+(1000-ROW())/1000000000</f>
        <v>0.068336611</v>
      </c>
      <c r="AU189" s="35" t="n">
        <f aca="false">RANK(AT189,$AT$4:$AT$227)</f>
        <v>28</v>
      </c>
      <c r="AV189" s="40" t="n">
        <f aca="false">IF(AQ189=0,"",AF189)</f>
        <v>85.3</v>
      </c>
      <c r="AW189" s="41" t="n">
        <f aca="false">IF(AQ189=0,"",AH189)</f>
        <v>0.113888</v>
      </c>
    </row>
    <row r="190" customFormat="false" ht="33.75" hidden="false" customHeight="true" outlineLevel="0" collapsed="false">
      <c r="A190" s="35" t="n">
        <v>187</v>
      </c>
      <c r="B190" s="7" t="s">
        <v>1095</v>
      </c>
      <c r="C190" s="7" t="s">
        <v>1101</v>
      </c>
      <c r="D190" s="7" t="s">
        <v>1097</v>
      </c>
      <c r="E190" s="7" t="s">
        <v>325</v>
      </c>
      <c r="F190" s="35" t="s">
        <v>89</v>
      </c>
      <c r="G190" s="7" t="s">
        <v>311</v>
      </c>
      <c r="H190" s="7" t="s">
        <v>172</v>
      </c>
      <c r="I190" s="7" t="s">
        <v>179</v>
      </c>
      <c r="J190" s="35" t="s">
        <v>207</v>
      </c>
      <c r="K190" s="7" t="s">
        <v>604</v>
      </c>
      <c r="L190" s="7" t="s">
        <v>605</v>
      </c>
      <c r="M190" s="7" t="s">
        <v>576</v>
      </c>
      <c r="N190" s="7" t="s">
        <v>215</v>
      </c>
      <c r="O190" s="7" t="s">
        <v>179</v>
      </c>
      <c r="P190" s="35" t="str">
        <f aca="true">IF(ISNUMBER(O190),O190-TODAY(),"")</f>
        <v/>
      </c>
      <c r="Q190" s="7" t="s">
        <v>179</v>
      </c>
      <c r="R190" s="36" t="n">
        <v>1000</v>
      </c>
      <c r="S190" s="36" t="n">
        <v>1400</v>
      </c>
      <c r="T190" s="37" t="n">
        <f aca="false">IF(R190="","",AVERAGE(R190,S190))</f>
        <v>1200</v>
      </c>
      <c r="U190" s="7" t="s">
        <v>547</v>
      </c>
      <c r="V190" s="38" t="s">
        <v>318</v>
      </c>
      <c r="W190" s="38" t="n">
        <v>3</v>
      </c>
      <c r="X190" s="38" t="n">
        <v>3.5</v>
      </c>
      <c r="Y190" s="35" t="n">
        <f aca="false">ROUND(0.6*W190+0.4*X190,1)</f>
        <v>3.2</v>
      </c>
      <c r="Z190" s="38" t="s">
        <v>182</v>
      </c>
      <c r="AA190" s="38" t="n">
        <v>0.9</v>
      </c>
      <c r="AB190" s="39" t="n">
        <f aca="false">1-AA190*(1-INDEX('Perfil e pressupostos'!$C$14:$C$20,MATCH(Z190,'Perfil e pressupostos'!$A$14:$A$20,0)))</f>
        <v>0.955</v>
      </c>
      <c r="AC190" s="38" t="n">
        <v>0.7</v>
      </c>
      <c r="AD190" s="38" t="n">
        <v>1</v>
      </c>
      <c r="AE190" s="38" t="n">
        <v>0.7</v>
      </c>
      <c r="AF190" s="40" t="n">
        <f aca="false">100*('Perfil e pressupostos'!$F$14*AB190+'Perfil e pressupostos'!$F$15*AC190+'Perfil e pressupostos'!$F$16*AD190+'Perfil e pressupostos'!$F$17*AE190)/'Perfil e pressupostos'!$F$18</f>
        <v>85.15</v>
      </c>
      <c r="AG190" s="41" t="n">
        <f aca="false">INDEX('Perfil e pressupostos'!$B$25:$B$28,MATCH(V190,'Perfil e pressupostos'!$A$25:$A$28,0))</f>
        <v>0.08</v>
      </c>
      <c r="AH190" s="41" t="n">
        <f aca="false">MIN('Perfil e pressupostos'!$F$29,AG190*('Perfil e pressupostos'!$F$25+'Perfil e pressupostos'!$F$26*AF190/100)*IF(AD190&lt;='Perfil e pressupostos'!$F$28,'Perfil e pressupostos'!$F$27,1))</f>
        <v>0.113744</v>
      </c>
      <c r="AI190" s="35" t="str">
        <f aca="false">IF(AQ190=0,"—",IF(AH190&gt;='Perfil e pressupostos'!$F$30,"Boa",IF(AH190&gt;='Perfil e pressupostos'!$F$31,"Média","Baixa")))</f>
        <v>Boa</v>
      </c>
      <c r="AJ190" s="7" t="s">
        <v>1102</v>
      </c>
      <c r="AK190" s="7" t="s">
        <v>215</v>
      </c>
      <c r="AL190" s="35" t="str">
        <f aca="false">IF(AK190="Prazo expirado","Prazo passado",IF(LEFT(AK190,11)="Monitorizar","Monitorizar",IF(Y190&gt;=3.5,"Prioridade",IF(Y190&gt;=3,"Candidatar (reach)","Reserva"))))</f>
        <v>Candidatar (reach)</v>
      </c>
      <c r="AM190" s="7" t="s">
        <v>548</v>
      </c>
      <c r="AN190" s="42" t="s">
        <v>1103</v>
      </c>
      <c r="AO190" s="7" t="s">
        <v>361</v>
      </c>
      <c r="AP190" s="7" t="s">
        <v>218</v>
      </c>
      <c r="AQ190" s="7" t="n">
        <f aca="false">IF(OR(AK190="Prazo expirado",LEFT(AK190,11)="Monitorizar"),0,1)</f>
        <v>1</v>
      </c>
      <c r="AR190" s="41" t="n">
        <f aca="false">IF(AQ190=0,0,AH190)</f>
        <v>0.113744</v>
      </c>
      <c r="AS190" s="41" t="n">
        <f aca="false">AR190*W190/5</f>
        <v>0.0682464</v>
      </c>
      <c r="AT190" s="43" t="n">
        <f aca="false">AS190+W190/1000000+(1000-ROW())/1000000000</f>
        <v>0.06825021</v>
      </c>
      <c r="AU190" s="35" t="n">
        <f aca="false">RANK(AT190,$AT$4:$AT$227)</f>
        <v>29</v>
      </c>
      <c r="AV190" s="40" t="n">
        <f aca="false">IF(AQ190=0,"",AF190)</f>
        <v>85.15</v>
      </c>
      <c r="AW190" s="41" t="n">
        <f aca="false">IF(AQ190=0,"",AH190)</f>
        <v>0.113744</v>
      </c>
    </row>
    <row r="191" customFormat="false" ht="33.75" hidden="false" customHeight="true" outlineLevel="0" collapsed="false">
      <c r="A191" s="35" t="n">
        <v>188</v>
      </c>
      <c r="B191" s="7" t="s">
        <v>1104</v>
      </c>
      <c r="C191" s="7" t="s">
        <v>1105</v>
      </c>
      <c r="D191" s="7" t="s">
        <v>1106</v>
      </c>
      <c r="E191" s="7" t="s">
        <v>325</v>
      </c>
      <c r="F191" s="35" t="s">
        <v>89</v>
      </c>
      <c r="G191" s="7" t="s">
        <v>311</v>
      </c>
      <c r="H191" s="7" t="s">
        <v>172</v>
      </c>
      <c r="I191" s="7" t="s">
        <v>179</v>
      </c>
      <c r="J191" s="35" t="s">
        <v>207</v>
      </c>
      <c r="K191" s="7" t="s">
        <v>604</v>
      </c>
      <c r="L191" s="7" t="s">
        <v>605</v>
      </c>
      <c r="M191" s="7" t="s">
        <v>576</v>
      </c>
      <c r="N191" s="7" t="s">
        <v>215</v>
      </c>
      <c r="O191" s="7" t="s">
        <v>179</v>
      </c>
      <c r="P191" s="35" t="str">
        <f aca="true">IF(ISNUMBER(O191),O191-TODAY(),"")</f>
        <v/>
      </c>
      <c r="Q191" s="7" t="s">
        <v>179</v>
      </c>
      <c r="R191" s="36" t="n">
        <v>1300</v>
      </c>
      <c r="S191" s="36" t="n">
        <v>1800</v>
      </c>
      <c r="T191" s="37" t="n">
        <f aca="false">IF(R191="","",AVERAGE(R191,S191))</f>
        <v>1550</v>
      </c>
      <c r="U191" s="7" t="s">
        <v>547</v>
      </c>
      <c r="V191" s="38" t="s">
        <v>181</v>
      </c>
      <c r="W191" s="38" t="n">
        <v>3.5</v>
      </c>
      <c r="X191" s="38" t="n">
        <v>1.6</v>
      </c>
      <c r="Y191" s="35" t="n">
        <f aca="false">ROUND(0.6*W191+0.4*X191,1)</f>
        <v>2.7</v>
      </c>
      <c r="Z191" s="38" t="s">
        <v>182</v>
      </c>
      <c r="AA191" s="38" t="n">
        <v>1</v>
      </c>
      <c r="AB191" s="39" t="n">
        <f aca="false">1-AA191*(1-INDEX('Perfil e pressupostos'!$C$14:$C$20,MATCH(Z191,'Perfil e pressupostos'!$A$14:$A$20,0)))</f>
        <v>0.95</v>
      </c>
      <c r="AC191" s="38" t="n">
        <v>0.3</v>
      </c>
      <c r="AD191" s="38" t="n">
        <v>0.6</v>
      </c>
      <c r="AE191" s="38" t="n">
        <v>0.8</v>
      </c>
      <c r="AF191" s="40" t="n">
        <f aca="false">100*('Perfil e pressupostos'!$F$14*AB191+'Perfil e pressupostos'!$F$15*AC191+'Perfil e pressupostos'!$F$16*AD191+'Perfil e pressupostos'!$F$17*AE191)/'Perfil e pressupostos'!$F$18</f>
        <v>64.5</v>
      </c>
      <c r="AG191" s="41" t="n">
        <f aca="false">INDEX('Perfil e pressupostos'!$B$25:$B$28,MATCH(V191,'Perfil e pressupostos'!$A$25:$A$28,0))</f>
        <v>0.01</v>
      </c>
      <c r="AH191" s="41" t="n">
        <f aca="false">MIN('Perfil e pressupostos'!$F$29,AG191*('Perfil e pressupostos'!$F$25+'Perfil e pressupostos'!$F$26*AF191/100)*IF(AD191&lt;='Perfil e pressupostos'!$F$28,'Perfil e pressupostos'!$F$27,1))</f>
        <v>0.01174</v>
      </c>
      <c r="AI191" s="35" t="str">
        <f aca="false">IF(AQ191=0,"—",IF(AH191&gt;='Perfil e pressupostos'!$F$30,"Boa",IF(AH191&gt;='Perfil e pressupostos'!$F$31,"Média","Baixa")))</f>
        <v>Baixa</v>
      </c>
      <c r="AJ191" s="7" t="s">
        <v>445</v>
      </c>
      <c r="AK191" s="7" t="s">
        <v>215</v>
      </c>
      <c r="AL191" s="35" t="str">
        <f aca="false">IF(AK191="Prazo expirado","Prazo passado",IF(LEFT(AK191,11)="Monitorizar","Monitorizar",IF(Y191&gt;=3.5,"Prioridade",IF(Y191&gt;=3,"Candidatar (reach)","Reserva"))))</f>
        <v>Reserva</v>
      </c>
      <c r="AM191" s="7" t="s">
        <v>1107</v>
      </c>
      <c r="AN191" s="42" t="s">
        <v>1108</v>
      </c>
      <c r="AO191" s="7" t="s">
        <v>361</v>
      </c>
      <c r="AP191" s="7" t="s">
        <v>218</v>
      </c>
      <c r="AQ191" s="7" t="n">
        <f aca="false">IF(OR(AK191="Prazo expirado",LEFT(AK191,11)="Monitorizar"),0,1)</f>
        <v>1</v>
      </c>
      <c r="AR191" s="41" t="n">
        <f aca="false">IF(AQ191=0,0,AH191)</f>
        <v>0.01174</v>
      </c>
      <c r="AS191" s="41" t="n">
        <f aca="false">AR191*W191/5</f>
        <v>0.008218</v>
      </c>
      <c r="AT191" s="43" t="n">
        <f aca="false">AS191+W191/1000000+(1000-ROW())/1000000000</f>
        <v>0.008222309</v>
      </c>
      <c r="AU191" s="35" t="n">
        <f aca="false">RANK(AT191,$AT$4:$AT$227)</f>
        <v>141</v>
      </c>
      <c r="AV191" s="40" t="n">
        <f aca="false">IF(AQ191=0,"",AF191)</f>
        <v>64.5</v>
      </c>
      <c r="AW191" s="41" t="n">
        <f aca="false">IF(AQ191=0,"",AH191)</f>
        <v>0.01174</v>
      </c>
    </row>
    <row r="192" customFormat="false" ht="33.75" hidden="false" customHeight="true" outlineLevel="0" collapsed="false">
      <c r="A192" s="35" t="n">
        <v>189</v>
      </c>
      <c r="B192" s="7" t="s">
        <v>1109</v>
      </c>
      <c r="C192" s="7" t="s">
        <v>1110</v>
      </c>
      <c r="D192" s="7" t="s">
        <v>1111</v>
      </c>
      <c r="E192" s="7" t="s">
        <v>1112</v>
      </c>
      <c r="F192" s="35" t="s">
        <v>89</v>
      </c>
      <c r="G192" s="7" t="s">
        <v>311</v>
      </c>
      <c r="H192" s="7" t="s">
        <v>172</v>
      </c>
      <c r="I192" s="7" t="s">
        <v>179</v>
      </c>
      <c r="J192" s="35" t="s">
        <v>207</v>
      </c>
      <c r="K192" s="7" t="s">
        <v>1113</v>
      </c>
      <c r="L192" s="7" t="s">
        <v>1114</v>
      </c>
      <c r="M192" s="7" t="s">
        <v>1115</v>
      </c>
      <c r="N192" s="7" t="s">
        <v>215</v>
      </c>
      <c r="O192" s="7" t="s">
        <v>179</v>
      </c>
      <c r="P192" s="35" t="str">
        <f aca="true">IF(ISNUMBER(O192),O192-TODAY(),"")</f>
        <v/>
      </c>
      <c r="Q192" s="7" t="s">
        <v>179</v>
      </c>
      <c r="R192" s="36" t="n">
        <v>1200</v>
      </c>
      <c r="S192" s="36" t="n">
        <v>1700</v>
      </c>
      <c r="T192" s="37" t="n">
        <f aca="false">IF(R192="","",AVERAGE(R192,S192))</f>
        <v>1450</v>
      </c>
      <c r="U192" s="7" t="s">
        <v>547</v>
      </c>
      <c r="V192" s="38" t="s">
        <v>318</v>
      </c>
      <c r="W192" s="38" t="n">
        <v>4</v>
      </c>
      <c r="X192" s="38" t="n">
        <v>3.6</v>
      </c>
      <c r="Y192" s="35" t="n">
        <f aca="false">ROUND(0.6*W192+0.4*X192,1)</f>
        <v>3.8</v>
      </c>
      <c r="Z192" s="38" t="s">
        <v>182</v>
      </c>
      <c r="AA192" s="38" t="n">
        <v>0.9</v>
      </c>
      <c r="AB192" s="39" t="n">
        <f aca="false">1-AA192*(1-INDEX('Perfil e pressupostos'!$C$14:$C$20,MATCH(Z192,'Perfil e pressupostos'!$A$14:$A$20,0)))</f>
        <v>0.955</v>
      </c>
      <c r="AC192" s="38" t="n">
        <v>0.8</v>
      </c>
      <c r="AD192" s="38" t="n">
        <v>0.9</v>
      </c>
      <c r="AE192" s="38" t="n">
        <v>0.8</v>
      </c>
      <c r="AF192" s="40" t="n">
        <f aca="false">100*('Perfil e pressupostos'!$F$14*AB192+'Perfil e pressupostos'!$F$15*AC192+'Perfil e pressupostos'!$F$16*AD192+'Perfil e pressupostos'!$F$17*AE192)/'Perfil e pressupostos'!$F$18</f>
        <v>87.15</v>
      </c>
      <c r="AG192" s="41" t="n">
        <f aca="false">INDEX('Perfil e pressupostos'!$B$25:$B$28,MATCH(V192,'Perfil e pressupostos'!$A$25:$A$28,0))</f>
        <v>0.08</v>
      </c>
      <c r="AH192" s="41" t="n">
        <f aca="false">MIN('Perfil e pressupostos'!$F$29,AG192*('Perfil e pressupostos'!$F$25+'Perfil e pressupostos'!$F$26*AF192/100)*IF(AD192&lt;='Perfil e pressupostos'!$F$28,'Perfil e pressupostos'!$F$27,1))</f>
        <v>0.115664</v>
      </c>
      <c r="AI192" s="35" t="str">
        <f aca="false">IF(AQ192=0,"—",IF(AH192&gt;='Perfil e pressupostos'!$F$30,"Boa",IF(AH192&gt;='Perfil e pressupostos'!$F$31,"Média","Baixa")))</f>
        <v>Boa</v>
      </c>
      <c r="AJ192" s="7" t="s">
        <v>1102</v>
      </c>
      <c r="AK192" s="7" t="s">
        <v>215</v>
      </c>
      <c r="AL192" s="35" t="str">
        <f aca="false">IF(AK192="Prazo expirado","Prazo passado",IF(LEFT(AK192,11)="Monitorizar","Monitorizar",IF(Y192&gt;=3.5,"Prioridade",IF(Y192&gt;=3,"Candidatar (reach)","Reserva"))))</f>
        <v>Prioridade</v>
      </c>
      <c r="AM192" s="7" t="s">
        <v>1116</v>
      </c>
      <c r="AN192" s="42" t="s">
        <v>1117</v>
      </c>
      <c r="AO192" s="7" t="s">
        <v>295</v>
      </c>
      <c r="AP192" s="7" t="s">
        <v>218</v>
      </c>
      <c r="AQ192" s="7" t="n">
        <f aca="false">IF(OR(AK192="Prazo expirado",LEFT(AK192,11)="Monitorizar"),0,1)</f>
        <v>1</v>
      </c>
      <c r="AR192" s="41" t="n">
        <f aca="false">IF(AQ192=0,0,AH192)</f>
        <v>0.115664</v>
      </c>
      <c r="AS192" s="41" t="n">
        <f aca="false">AR192*W192/5</f>
        <v>0.0925312</v>
      </c>
      <c r="AT192" s="43" t="n">
        <f aca="false">AS192+W192/1000000+(1000-ROW())/1000000000</f>
        <v>0.092536008</v>
      </c>
      <c r="AU192" s="35" t="n">
        <f aca="false">RANK(AT192,$AT$4:$AT$227)</f>
        <v>9</v>
      </c>
      <c r="AV192" s="40" t="n">
        <f aca="false">IF(AQ192=0,"",AF192)</f>
        <v>87.15</v>
      </c>
      <c r="AW192" s="41" t="n">
        <f aca="false">IF(AQ192=0,"",AH192)</f>
        <v>0.115664</v>
      </c>
    </row>
    <row r="193" customFormat="false" ht="33.75" hidden="false" customHeight="true" outlineLevel="0" collapsed="false">
      <c r="A193" s="35" t="n">
        <v>190</v>
      </c>
      <c r="B193" s="7" t="s">
        <v>1109</v>
      </c>
      <c r="C193" s="7" t="s">
        <v>1118</v>
      </c>
      <c r="D193" s="7" t="s">
        <v>1119</v>
      </c>
      <c r="E193" s="7" t="s">
        <v>1112</v>
      </c>
      <c r="F193" s="35" t="s">
        <v>89</v>
      </c>
      <c r="G193" s="7" t="s">
        <v>1120</v>
      </c>
      <c r="H193" s="7" t="s">
        <v>172</v>
      </c>
      <c r="I193" s="7" t="s">
        <v>179</v>
      </c>
      <c r="J193" s="35" t="s">
        <v>207</v>
      </c>
      <c r="K193" s="7" t="s">
        <v>628</v>
      </c>
      <c r="L193" s="7" t="s">
        <v>629</v>
      </c>
      <c r="M193" s="7" t="s">
        <v>576</v>
      </c>
      <c r="N193" s="7" t="s">
        <v>215</v>
      </c>
      <c r="O193" s="7" t="s">
        <v>179</v>
      </c>
      <c r="P193" s="35" t="str">
        <f aca="true">IF(ISNUMBER(O193),O193-TODAY(),"")</f>
        <v/>
      </c>
      <c r="Q193" s="7" t="s">
        <v>179</v>
      </c>
      <c r="R193" s="36" t="n">
        <v>1300</v>
      </c>
      <c r="S193" s="36" t="n">
        <v>1800</v>
      </c>
      <c r="T193" s="37" t="n">
        <f aca="false">IF(R193="","",AVERAGE(R193,S193))</f>
        <v>1550</v>
      </c>
      <c r="U193" s="7" t="s">
        <v>547</v>
      </c>
      <c r="V193" s="38" t="s">
        <v>318</v>
      </c>
      <c r="W193" s="38" t="n">
        <v>3.5</v>
      </c>
      <c r="X193" s="38" t="n">
        <v>2.5</v>
      </c>
      <c r="Y193" s="35" t="n">
        <f aca="false">ROUND(0.6*W193+0.4*X193,1)</f>
        <v>3.1</v>
      </c>
      <c r="Z193" s="38" t="s">
        <v>213</v>
      </c>
      <c r="AA193" s="38" t="n">
        <v>0.4</v>
      </c>
      <c r="AB193" s="39" t="n">
        <f aca="false">1-AA193*(1-INDEX('Perfil e pressupostos'!$C$14:$C$20,MATCH(Z193,'Perfil e pressupostos'!$A$14:$A$20,0)))</f>
        <v>0.62</v>
      </c>
      <c r="AC193" s="38" t="n">
        <v>0.7</v>
      </c>
      <c r="AD193" s="38" t="n">
        <v>0.9</v>
      </c>
      <c r="AE193" s="38" t="n">
        <v>0.7</v>
      </c>
      <c r="AF193" s="40" t="n">
        <f aca="false">100*('Perfil e pressupostos'!$F$14*AB193+'Perfil e pressupostos'!$F$15*AC193+'Perfil e pressupostos'!$F$16*AD193+'Perfil e pressupostos'!$F$17*AE193)/'Perfil e pressupostos'!$F$18</f>
        <v>72.6</v>
      </c>
      <c r="AG193" s="41" t="n">
        <f aca="false">INDEX('Perfil e pressupostos'!$B$25:$B$28,MATCH(V193,'Perfil e pressupostos'!$A$25:$A$28,0))</f>
        <v>0.08</v>
      </c>
      <c r="AH193" s="41" t="n">
        <f aca="false">MIN('Perfil e pressupostos'!$F$29,AG193*('Perfil e pressupostos'!$F$25+'Perfil e pressupostos'!$F$26*AF193/100)*IF(AD193&lt;='Perfil e pressupostos'!$F$28,'Perfil e pressupostos'!$F$27,1))</f>
        <v>0.101696</v>
      </c>
      <c r="AI193" s="35" t="str">
        <f aca="false">IF(AQ193=0,"—",IF(AH193&gt;='Perfil e pressupostos'!$F$30,"Boa",IF(AH193&gt;='Perfil e pressupostos'!$F$31,"Média","Baixa")))</f>
        <v>Boa</v>
      </c>
      <c r="AJ193" s="7" t="s">
        <v>1121</v>
      </c>
      <c r="AK193" s="7" t="s">
        <v>215</v>
      </c>
      <c r="AL193" s="35" t="str">
        <f aca="false">IF(AK193="Prazo expirado","Prazo passado",IF(LEFT(AK193,11)="Monitorizar","Monitorizar",IF(Y193&gt;=3.5,"Prioridade",IF(Y193&gt;=3,"Candidatar (reach)","Reserva"))))</f>
        <v>Candidatar (reach)</v>
      </c>
      <c r="AM193" s="7" t="s">
        <v>1122</v>
      </c>
      <c r="AN193" s="42" t="s">
        <v>1123</v>
      </c>
      <c r="AO193" s="7" t="s">
        <v>361</v>
      </c>
      <c r="AP193" s="7" t="s">
        <v>218</v>
      </c>
      <c r="AQ193" s="7" t="n">
        <f aca="false">IF(OR(AK193="Prazo expirado",LEFT(AK193,11)="Monitorizar"),0,1)</f>
        <v>1</v>
      </c>
      <c r="AR193" s="41" t="n">
        <f aca="false">IF(AQ193=0,0,AH193)</f>
        <v>0.101696</v>
      </c>
      <c r="AS193" s="41" t="n">
        <f aca="false">AR193*W193/5</f>
        <v>0.0711872</v>
      </c>
      <c r="AT193" s="43" t="n">
        <f aca="false">AS193+W193/1000000+(1000-ROW())/1000000000</f>
        <v>0.071191507</v>
      </c>
      <c r="AU193" s="35" t="n">
        <f aca="false">RANK(AT193,$AT$4:$AT$227)</f>
        <v>22</v>
      </c>
      <c r="AV193" s="40" t="n">
        <f aca="false">IF(AQ193=0,"",AF193)</f>
        <v>72.6</v>
      </c>
      <c r="AW193" s="41" t="n">
        <f aca="false">IF(AQ193=0,"",AH193)</f>
        <v>0.101696</v>
      </c>
    </row>
    <row r="194" customFormat="false" ht="33.75" hidden="false" customHeight="true" outlineLevel="0" collapsed="false">
      <c r="A194" s="35" t="n">
        <v>191</v>
      </c>
      <c r="B194" s="7" t="s">
        <v>1124</v>
      </c>
      <c r="C194" s="7" t="s">
        <v>1125</v>
      </c>
      <c r="D194" s="7" t="s">
        <v>1126</v>
      </c>
      <c r="E194" s="7" t="s">
        <v>1112</v>
      </c>
      <c r="F194" s="35" t="s">
        <v>89</v>
      </c>
      <c r="G194" s="7" t="s">
        <v>311</v>
      </c>
      <c r="H194" s="7" t="s">
        <v>172</v>
      </c>
      <c r="I194" s="7" t="s">
        <v>179</v>
      </c>
      <c r="J194" s="35" t="s">
        <v>207</v>
      </c>
      <c r="K194" s="7" t="s">
        <v>669</v>
      </c>
      <c r="L194" s="7" t="s">
        <v>670</v>
      </c>
      <c r="M194" s="7" t="s">
        <v>576</v>
      </c>
      <c r="N194" s="7" t="s">
        <v>215</v>
      </c>
      <c r="O194" s="7" t="s">
        <v>179</v>
      </c>
      <c r="P194" s="35" t="str">
        <f aca="true">IF(ISNUMBER(O194),O194-TODAY(),"")</f>
        <v/>
      </c>
      <c r="Q194" s="7" t="s">
        <v>179</v>
      </c>
      <c r="R194" s="36" t="n">
        <v>1300</v>
      </c>
      <c r="S194" s="36" t="n">
        <v>1800</v>
      </c>
      <c r="T194" s="37" t="n">
        <f aca="false">IF(R194="","",AVERAGE(R194,S194))</f>
        <v>1550</v>
      </c>
      <c r="U194" s="7" t="s">
        <v>547</v>
      </c>
      <c r="V194" s="38" t="s">
        <v>318</v>
      </c>
      <c r="W194" s="38" t="n">
        <v>3</v>
      </c>
      <c r="X194" s="38" t="n">
        <v>2.5</v>
      </c>
      <c r="Y194" s="35" t="n">
        <f aca="false">ROUND(0.6*W194+0.4*X194,1)</f>
        <v>2.8</v>
      </c>
      <c r="Z194" s="38" t="s">
        <v>213</v>
      </c>
      <c r="AA194" s="38" t="n">
        <v>0.4</v>
      </c>
      <c r="AB194" s="39" t="n">
        <f aca="false">1-AA194*(1-INDEX('Perfil e pressupostos'!$C$14:$C$20,MATCH(Z194,'Perfil e pressupostos'!$A$14:$A$20,0)))</f>
        <v>0.62</v>
      </c>
      <c r="AC194" s="38" t="n">
        <v>0.7</v>
      </c>
      <c r="AD194" s="38" t="n">
        <v>0.9</v>
      </c>
      <c r="AE194" s="38" t="n">
        <v>0.7</v>
      </c>
      <c r="AF194" s="40" t="n">
        <f aca="false">100*('Perfil e pressupostos'!$F$14*AB194+'Perfil e pressupostos'!$F$15*AC194+'Perfil e pressupostos'!$F$16*AD194+'Perfil e pressupostos'!$F$17*AE194)/'Perfil e pressupostos'!$F$18</f>
        <v>72.6</v>
      </c>
      <c r="AG194" s="41" t="n">
        <f aca="false">INDEX('Perfil e pressupostos'!$B$25:$B$28,MATCH(V194,'Perfil e pressupostos'!$A$25:$A$28,0))</f>
        <v>0.08</v>
      </c>
      <c r="AH194" s="41" t="n">
        <f aca="false">MIN('Perfil e pressupostos'!$F$29,AG194*('Perfil e pressupostos'!$F$25+'Perfil e pressupostos'!$F$26*AF194/100)*IF(AD194&lt;='Perfil e pressupostos'!$F$28,'Perfil e pressupostos'!$F$27,1))</f>
        <v>0.101696</v>
      </c>
      <c r="AI194" s="35" t="str">
        <f aca="false">IF(AQ194=0,"—",IF(AH194&gt;='Perfil e pressupostos'!$F$30,"Boa",IF(AH194&gt;='Perfil e pressupostos'!$F$31,"Média","Baixa")))</f>
        <v>Boa</v>
      </c>
      <c r="AJ194" s="7" t="s">
        <v>1121</v>
      </c>
      <c r="AK194" s="7" t="s">
        <v>215</v>
      </c>
      <c r="AL194" s="35" t="str">
        <f aca="false">IF(AK194="Prazo expirado","Prazo passado",IF(LEFT(AK194,11)="Monitorizar","Monitorizar",IF(Y194&gt;=3.5,"Prioridade",IF(Y194&gt;=3,"Candidatar (reach)","Reserva"))))</f>
        <v>Reserva</v>
      </c>
      <c r="AM194" s="7" t="s">
        <v>1127</v>
      </c>
      <c r="AN194" s="42" t="s">
        <v>1128</v>
      </c>
      <c r="AO194" s="7" t="s">
        <v>361</v>
      </c>
      <c r="AP194" s="7" t="s">
        <v>218</v>
      </c>
      <c r="AQ194" s="7" t="n">
        <f aca="false">IF(OR(AK194="Prazo expirado",LEFT(AK194,11)="Monitorizar"),0,1)</f>
        <v>1</v>
      </c>
      <c r="AR194" s="41" t="n">
        <f aca="false">IF(AQ194=0,0,AH194)</f>
        <v>0.101696</v>
      </c>
      <c r="AS194" s="41" t="n">
        <f aca="false">AR194*W194/5</f>
        <v>0.0610176</v>
      </c>
      <c r="AT194" s="43" t="n">
        <f aca="false">AS194+W194/1000000+(1000-ROW())/1000000000</f>
        <v>0.061021406</v>
      </c>
      <c r="AU194" s="35" t="n">
        <f aca="false">RANK(AT194,$AT$4:$AT$227)</f>
        <v>31</v>
      </c>
      <c r="AV194" s="40" t="n">
        <f aca="false">IF(AQ194=0,"",AF194)</f>
        <v>72.6</v>
      </c>
      <c r="AW194" s="41" t="n">
        <f aca="false">IF(AQ194=0,"",AH194)</f>
        <v>0.101696</v>
      </c>
    </row>
    <row r="195" customFormat="false" ht="33.75" hidden="false" customHeight="true" outlineLevel="0" collapsed="false">
      <c r="A195" s="35" t="n">
        <v>192</v>
      </c>
      <c r="B195" s="7" t="s">
        <v>1129</v>
      </c>
      <c r="C195" s="7" t="s">
        <v>1130</v>
      </c>
      <c r="D195" s="7" t="s">
        <v>1131</v>
      </c>
      <c r="E195" s="7" t="s">
        <v>1112</v>
      </c>
      <c r="F195" s="35" t="s">
        <v>89</v>
      </c>
      <c r="G195" s="7" t="s">
        <v>311</v>
      </c>
      <c r="H195" s="7" t="s">
        <v>172</v>
      </c>
      <c r="I195" s="7" t="s">
        <v>179</v>
      </c>
      <c r="J195" s="35" t="s">
        <v>207</v>
      </c>
      <c r="K195" s="7" t="s">
        <v>721</v>
      </c>
      <c r="L195" s="7" t="s">
        <v>722</v>
      </c>
      <c r="M195" s="7" t="s">
        <v>576</v>
      </c>
      <c r="N195" s="7" t="s">
        <v>215</v>
      </c>
      <c r="O195" s="7" t="s">
        <v>179</v>
      </c>
      <c r="P195" s="35" t="str">
        <f aca="true">IF(ISNUMBER(O195),O195-TODAY(),"")</f>
        <v/>
      </c>
      <c r="Q195" s="7" t="s">
        <v>179</v>
      </c>
      <c r="R195" s="36" t="n">
        <v>1100</v>
      </c>
      <c r="S195" s="36" t="n">
        <v>1500</v>
      </c>
      <c r="T195" s="37" t="n">
        <f aca="false">IF(R195="","",AVERAGE(R195,S195))</f>
        <v>1300</v>
      </c>
      <c r="U195" s="7" t="s">
        <v>547</v>
      </c>
      <c r="V195" s="38" t="s">
        <v>318</v>
      </c>
      <c r="W195" s="38" t="n">
        <v>4</v>
      </c>
      <c r="X195" s="38" t="n">
        <v>3.7</v>
      </c>
      <c r="Y195" s="35" t="n">
        <f aca="false">ROUND(0.6*W195+0.4*X195,1)</f>
        <v>3.9</v>
      </c>
      <c r="Z195" s="38" t="s">
        <v>182</v>
      </c>
      <c r="AA195" s="38" t="n">
        <v>0.8</v>
      </c>
      <c r="AB195" s="39" t="n">
        <f aca="false">1-AA195*(1-INDEX('Perfil e pressupostos'!$C$14:$C$20,MATCH(Z195,'Perfil e pressupostos'!$A$14:$A$20,0)))</f>
        <v>0.96</v>
      </c>
      <c r="AC195" s="38" t="n">
        <v>0.7</v>
      </c>
      <c r="AD195" s="38" t="n">
        <v>1</v>
      </c>
      <c r="AE195" s="38" t="n">
        <v>0.85</v>
      </c>
      <c r="AF195" s="40" t="n">
        <f aca="false">100*('Perfil e pressupostos'!$F$14*AB195+'Perfil e pressupostos'!$F$15*AC195+'Perfil e pressupostos'!$F$16*AD195+'Perfil e pressupostos'!$F$17*AE195)/'Perfil e pressupostos'!$F$18</f>
        <v>87.55</v>
      </c>
      <c r="AG195" s="41" t="n">
        <f aca="false">INDEX('Perfil e pressupostos'!$B$25:$B$28,MATCH(V195,'Perfil e pressupostos'!$A$25:$A$28,0))</f>
        <v>0.08</v>
      </c>
      <c r="AH195" s="41" t="n">
        <f aca="false">MIN('Perfil e pressupostos'!$F$29,AG195*('Perfil e pressupostos'!$F$25+'Perfil e pressupostos'!$F$26*AF195/100)*IF(AD195&lt;='Perfil e pressupostos'!$F$28,'Perfil e pressupostos'!$F$27,1))</f>
        <v>0.116048</v>
      </c>
      <c r="AI195" s="35" t="str">
        <f aca="false">IF(AQ195=0,"—",IF(AH195&gt;='Perfil e pressupostos'!$F$30,"Boa",IF(AH195&gt;='Perfil e pressupostos'!$F$31,"Média","Baixa")))</f>
        <v>Boa</v>
      </c>
      <c r="AJ195" s="7" t="s">
        <v>1098</v>
      </c>
      <c r="AK195" s="7" t="s">
        <v>215</v>
      </c>
      <c r="AL195" s="35" t="str">
        <f aca="false">IF(AK195="Prazo expirado","Prazo passado",IF(LEFT(AK195,11)="Monitorizar","Monitorizar",IF(Y195&gt;=3.5,"Prioridade",IF(Y195&gt;=3,"Candidatar (reach)","Reserva"))))</f>
        <v>Prioridade</v>
      </c>
      <c r="AM195" s="7" t="s">
        <v>1132</v>
      </c>
      <c r="AN195" s="42" t="s">
        <v>1133</v>
      </c>
      <c r="AO195" s="7" t="s">
        <v>361</v>
      </c>
      <c r="AP195" s="7" t="s">
        <v>218</v>
      </c>
      <c r="AQ195" s="7" t="n">
        <f aca="false">IF(OR(AK195="Prazo expirado",LEFT(AK195,11)="Monitorizar"),0,1)</f>
        <v>1</v>
      </c>
      <c r="AR195" s="41" t="n">
        <f aca="false">IF(AQ195=0,0,AH195)</f>
        <v>0.116048</v>
      </c>
      <c r="AS195" s="41" t="n">
        <f aca="false">AR195*W195/5</f>
        <v>0.0928384</v>
      </c>
      <c r="AT195" s="43" t="n">
        <f aca="false">AS195+W195/1000000+(1000-ROW())/1000000000</f>
        <v>0.092843205</v>
      </c>
      <c r="AU195" s="35" t="n">
        <f aca="false">RANK(AT195,$AT$4:$AT$227)</f>
        <v>8</v>
      </c>
      <c r="AV195" s="40" t="n">
        <f aca="false">IF(AQ195=0,"",AF195)</f>
        <v>87.55</v>
      </c>
      <c r="AW195" s="41" t="n">
        <f aca="false">IF(AQ195=0,"",AH195)</f>
        <v>0.116048</v>
      </c>
    </row>
    <row r="196" customFormat="false" ht="33.75" hidden="false" customHeight="true" outlineLevel="0" collapsed="false">
      <c r="A196" s="35" t="n">
        <v>193</v>
      </c>
      <c r="B196" s="7" t="s">
        <v>1134</v>
      </c>
      <c r="C196" s="7" t="s">
        <v>1135</v>
      </c>
      <c r="D196" s="7" t="s">
        <v>1136</v>
      </c>
      <c r="E196" s="7" t="s">
        <v>1112</v>
      </c>
      <c r="F196" s="35" t="s">
        <v>89</v>
      </c>
      <c r="G196" s="7" t="s">
        <v>311</v>
      </c>
      <c r="H196" s="7" t="s">
        <v>172</v>
      </c>
      <c r="I196" s="7" t="s">
        <v>179</v>
      </c>
      <c r="J196" s="35" t="s">
        <v>207</v>
      </c>
      <c r="K196" s="7" t="s">
        <v>721</v>
      </c>
      <c r="L196" s="7" t="s">
        <v>722</v>
      </c>
      <c r="M196" s="7" t="s">
        <v>576</v>
      </c>
      <c r="N196" s="7" t="s">
        <v>215</v>
      </c>
      <c r="O196" s="7" t="s">
        <v>179</v>
      </c>
      <c r="P196" s="35" t="str">
        <f aca="true">IF(ISNUMBER(O196),O196-TODAY(),"")</f>
        <v/>
      </c>
      <c r="Q196" s="7" t="s">
        <v>179</v>
      </c>
      <c r="R196" s="36" t="n">
        <v>1100</v>
      </c>
      <c r="S196" s="36" t="n">
        <v>1500</v>
      </c>
      <c r="T196" s="37" t="n">
        <f aca="false">IF(R196="","",AVERAGE(R196,S196))</f>
        <v>1300</v>
      </c>
      <c r="U196" s="7" t="s">
        <v>547</v>
      </c>
      <c r="V196" s="38" t="s">
        <v>318</v>
      </c>
      <c r="W196" s="38" t="n">
        <v>3</v>
      </c>
      <c r="X196" s="38" t="n">
        <v>3.7</v>
      </c>
      <c r="Y196" s="35" t="n">
        <f aca="false">ROUND(0.6*W196+0.4*X196,1)</f>
        <v>3.3</v>
      </c>
      <c r="Z196" s="38" t="s">
        <v>182</v>
      </c>
      <c r="AA196" s="38" t="n">
        <v>0.8</v>
      </c>
      <c r="AB196" s="39" t="n">
        <f aca="false">1-AA196*(1-INDEX('Perfil e pressupostos'!$C$14:$C$20,MATCH(Z196,'Perfil e pressupostos'!$A$14:$A$20,0)))</f>
        <v>0.96</v>
      </c>
      <c r="AC196" s="38" t="n">
        <v>0.7</v>
      </c>
      <c r="AD196" s="38" t="n">
        <v>1</v>
      </c>
      <c r="AE196" s="38" t="n">
        <v>0.85</v>
      </c>
      <c r="AF196" s="40" t="n">
        <f aca="false">100*('Perfil e pressupostos'!$F$14*AB196+'Perfil e pressupostos'!$F$15*AC196+'Perfil e pressupostos'!$F$16*AD196+'Perfil e pressupostos'!$F$17*AE196)/'Perfil e pressupostos'!$F$18</f>
        <v>87.55</v>
      </c>
      <c r="AG196" s="41" t="n">
        <f aca="false">INDEX('Perfil e pressupostos'!$B$25:$B$28,MATCH(V196,'Perfil e pressupostos'!$A$25:$A$28,0))</f>
        <v>0.08</v>
      </c>
      <c r="AH196" s="41" t="n">
        <f aca="false">MIN('Perfil e pressupostos'!$F$29,AG196*('Perfil e pressupostos'!$F$25+'Perfil e pressupostos'!$F$26*AF196/100)*IF(AD196&lt;='Perfil e pressupostos'!$F$28,'Perfil e pressupostos'!$F$27,1))</f>
        <v>0.116048</v>
      </c>
      <c r="AI196" s="35" t="str">
        <f aca="false">IF(AQ196=0,"—",IF(AH196&gt;='Perfil e pressupostos'!$F$30,"Boa",IF(AH196&gt;='Perfil e pressupostos'!$F$31,"Média","Baixa")))</f>
        <v>Boa</v>
      </c>
      <c r="AJ196" s="7" t="s">
        <v>1098</v>
      </c>
      <c r="AK196" s="7" t="s">
        <v>215</v>
      </c>
      <c r="AL196" s="35" t="str">
        <f aca="false">IF(AK196="Prazo expirado","Prazo passado",IF(LEFT(AK196,11)="Monitorizar","Monitorizar",IF(Y196&gt;=3.5,"Prioridade",IF(Y196&gt;=3,"Candidatar (reach)","Reserva"))))</f>
        <v>Candidatar (reach)</v>
      </c>
      <c r="AM196" s="7" t="s">
        <v>548</v>
      </c>
      <c r="AN196" s="42" t="s">
        <v>1137</v>
      </c>
      <c r="AO196" s="7" t="s">
        <v>361</v>
      </c>
      <c r="AP196" s="7" t="s">
        <v>218</v>
      </c>
      <c r="AQ196" s="7" t="n">
        <f aca="false">IF(OR(AK196="Prazo expirado",LEFT(AK196,11)="Monitorizar"),0,1)</f>
        <v>1</v>
      </c>
      <c r="AR196" s="41" t="n">
        <f aca="false">IF(AQ196=0,0,AH196)</f>
        <v>0.116048</v>
      </c>
      <c r="AS196" s="41" t="n">
        <f aca="false">AR196*W196/5</f>
        <v>0.0696288</v>
      </c>
      <c r="AT196" s="43" t="n">
        <f aca="false">AS196+W196/1000000+(1000-ROW())/1000000000</f>
        <v>0.069632604</v>
      </c>
      <c r="AU196" s="35" t="n">
        <f aca="false">RANK(AT196,$AT$4:$AT$227)</f>
        <v>27</v>
      </c>
      <c r="AV196" s="40" t="n">
        <f aca="false">IF(AQ196=0,"",AF196)</f>
        <v>87.55</v>
      </c>
      <c r="AW196" s="41" t="n">
        <f aca="false">IF(AQ196=0,"",AH196)</f>
        <v>0.116048</v>
      </c>
    </row>
    <row r="197" customFormat="false" ht="33.75" hidden="false" customHeight="true" outlineLevel="0" collapsed="false">
      <c r="A197" s="35" t="n">
        <v>194</v>
      </c>
      <c r="B197" s="7" t="s">
        <v>1134</v>
      </c>
      <c r="C197" s="7" t="s">
        <v>1138</v>
      </c>
      <c r="D197" s="7" t="s">
        <v>1139</v>
      </c>
      <c r="E197" s="7" t="s">
        <v>1112</v>
      </c>
      <c r="F197" s="35" t="s">
        <v>89</v>
      </c>
      <c r="G197" s="7" t="s">
        <v>311</v>
      </c>
      <c r="H197" s="7" t="s">
        <v>172</v>
      </c>
      <c r="I197" s="7" t="s">
        <v>179</v>
      </c>
      <c r="J197" s="35" t="s">
        <v>207</v>
      </c>
      <c r="K197" s="7" t="s">
        <v>765</v>
      </c>
      <c r="L197" s="7" t="s">
        <v>766</v>
      </c>
      <c r="M197" s="7" t="s">
        <v>576</v>
      </c>
      <c r="N197" s="7" t="s">
        <v>215</v>
      </c>
      <c r="O197" s="7" t="s">
        <v>179</v>
      </c>
      <c r="P197" s="35" t="str">
        <f aca="true">IF(ISNUMBER(O197),O197-TODAY(),"")</f>
        <v/>
      </c>
      <c r="Q197" s="7" t="s">
        <v>179</v>
      </c>
      <c r="R197" s="36" t="n">
        <v>1100</v>
      </c>
      <c r="S197" s="36" t="n">
        <v>1500</v>
      </c>
      <c r="T197" s="37" t="n">
        <f aca="false">IF(R197="","",AVERAGE(R197,S197))</f>
        <v>1300</v>
      </c>
      <c r="U197" s="7" t="s">
        <v>547</v>
      </c>
      <c r="V197" s="38" t="s">
        <v>318</v>
      </c>
      <c r="W197" s="38" t="n">
        <v>2.5</v>
      </c>
      <c r="X197" s="38" t="n">
        <v>3.7</v>
      </c>
      <c r="Y197" s="35" t="n">
        <f aca="false">ROUND(0.6*W197+0.4*X197,1)</f>
        <v>3</v>
      </c>
      <c r="Z197" s="38" t="s">
        <v>182</v>
      </c>
      <c r="AA197" s="38" t="n">
        <v>0.8</v>
      </c>
      <c r="AB197" s="39" t="n">
        <f aca="false">1-AA197*(1-INDEX('Perfil e pressupostos'!$C$14:$C$20,MATCH(Z197,'Perfil e pressupostos'!$A$14:$A$20,0)))</f>
        <v>0.96</v>
      </c>
      <c r="AC197" s="38" t="n">
        <v>0.7</v>
      </c>
      <c r="AD197" s="38" t="n">
        <v>1</v>
      </c>
      <c r="AE197" s="38" t="n">
        <v>0.85</v>
      </c>
      <c r="AF197" s="40" t="n">
        <f aca="false">100*('Perfil e pressupostos'!$F$14*AB197+'Perfil e pressupostos'!$F$15*AC197+'Perfil e pressupostos'!$F$16*AD197+'Perfil e pressupostos'!$F$17*AE197)/'Perfil e pressupostos'!$F$18</f>
        <v>87.55</v>
      </c>
      <c r="AG197" s="41" t="n">
        <f aca="false">INDEX('Perfil e pressupostos'!$B$25:$B$28,MATCH(V197,'Perfil e pressupostos'!$A$25:$A$28,0))</f>
        <v>0.08</v>
      </c>
      <c r="AH197" s="41" t="n">
        <f aca="false">MIN('Perfil e pressupostos'!$F$29,AG197*('Perfil e pressupostos'!$F$25+'Perfil e pressupostos'!$F$26*AF197/100)*IF(AD197&lt;='Perfil e pressupostos'!$F$28,'Perfil e pressupostos'!$F$27,1))</f>
        <v>0.116048</v>
      </c>
      <c r="AI197" s="35" t="str">
        <f aca="false">IF(AQ197=0,"—",IF(AH197&gt;='Perfil e pressupostos'!$F$30,"Boa",IF(AH197&gt;='Perfil e pressupostos'!$F$31,"Média","Baixa")))</f>
        <v>Boa</v>
      </c>
      <c r="AJ197" s="7" t="s">
        <v>1098</v>
      </c>
      <c r="AK197" s="7" t="s">
        <v>215</v>
      </c>
      <c r="AL197" s="35" t="str">
        <f aca="false">IF(AK197="Prazo expirado","Prazo passado",IF(LEFT(AK197,11)="Monitorizar","Monitorizar",IF(Y197&gt;=3.5,"Prioridade",IF(Y197&gt;=3,"Candidatar (reach)","Reserva"))))</f>
        <v>Candidatar (reach)</v>
      </c>
      <c r="AM197" s="7" t="s">
        <v>548</v>
      </c>
      <c r="AN197" s="42" t="s">
        <v>1140</v>
      </c>
      <c r="AO197" s="7" t="s">
        <v>361</v>
      </c>
      <c r="AP197" s="7" t="s">
        <v>218</v>
      </c>
      <c r="AQ197" s="7" t="n">
        <f aca="false">IF(OR(AK197="Prazo expirado",LEFT(AK197,11)="Monitorizar"),0,1)</f>
        <v>1</v>
      </c>
      <c r="AR197" s="41" t="n">
        <f aca="false">IF(AQ197=0,0,AH197)</f>
        <v>0.116048</v>
      </c>
      <c r="AS197" s="41" t="n">
        <f aca="false">AR197*W197/5</f>
        <v>0.058024</v>
      </c>
      <c r="AT197" s="43" t="n">
        <f aca="false">AS197+W197/1000000+(1000-ROW())/1000000000</f>
        <v>0.058027303</v>
      </c>
      <c r="AU197" s="35" t="n">
        <f aca="false">RANK(AT197,$AT$4:$AT$227)</f>
        <v>32</v>
      </c>
      <c r="AV197" s="40" t="n">
        <f aca="false">IF(AQ197=0,"",AF197)</f>
        <v>87.55</v>
      </c>
      <c r="AW197" s="41" t="n">
        <f aca="false">IF(AQ197=0,"",AH197)</f>
        <v>0.116048</v>
      </c>
    </row>
    <row r="198" customFormat="false" ht="33.75" hidden="false" customHeight="true" outlineLevel="0" collapsed="false">
      <c r="A198" s="35" t="n">
        <v>195</v>
      </c>
      <c r="B198" s="7" t="s">
        <v>1134</v>
      </c>
      <c r="C198" s="7" t="s">
        <v>1141</v>
      </c>
      <c r="D198" s="7" t="s">
        <v>1142</v>
      </c>
      <c r="E198" s="7" t="s">
        <v>1112</v>
      </c>
      <c r="F198" s="35" t="s">
        <v>89</v>
      </c>
      <c r="G198" s="7" t="s">
        <v>311</v>
      </c>
      <c r="H198" s="7" t="s">
        <v>172</v>
      </c>
      <c r="I198" s="7" t="s">
        <v>179</v>
      </c>
      <c r="J198" s="35" t="s">
        <v>207</v>
      </c>
      <c r="K198" s="7" t="s">
        <v>765</v>
      </c>
      <c r="L198" s="7" t="s">
        <v>766</v>
      </c>
      <c r="M198" s="7" t="s">
        <v>576</v>
      </c>
      <c r="N198" s="7" t="s">
        <v>215</v>
      </c>
      <c r="O198" s="7" t="s">
        <v>179</v>
      </c>
      <c r="P198" s="35" t="str">
        <f aca="true">IF(ISNUMBER(O198),O198-TODAY(),"")</f>
        <v/>
      </c>
      <c r="Q198" s="7" t="s">
        <v>179</v>
      </c>
      <c r="R198" s="36" t="n">
        <v>1000</v>
      </c>
      <c r="S198" s="36" t="n">
        <v>1400</v>
      </c>
      <c r="T198" s="37" t="n">
        <f aca="false">IF(R198="","",AVERAGE(R198,S198))</f>
        <v>1200</v>
      </c>
      <c r="U198" s="7" t="s">
        <v>547</v>
      </c>
      <c r="V198" s="38" t="s">
        <v>517</v>
      </c>
      <c r="W198" s="38" t="n">
        <v>2</v>
      </c>
      <c r="X198" s="38" t="n">
        <v>3.8</v>
      </c>
      <c r="Y198" s="35" t="n">
        <f aca="false">ROUND(0.6*W198+0.4*X198,1)</f>
        <v>2.7</v>
      </c>
      <c r="Z198" s="38" t="s">
        <v>182</v>
      </c>
      <c r="AA198" s="38" t="n">
        <v>0.8</v>
      </c>
      <c r="AB198" s="39" t="n">
        <f aca="false">1-AA198*(1-INDEX('Perfil e pressupostos'!$C$14:$C$20,MATCH(Z198,'Perfil e pressupostos'!$A$14:$A$20,0)))</f>
        <v>0.96</v>
      </c>
      <c r="AC198" s="38" t="n">
        <v>0.8</v>
      </c>
      <c r="AD198" s="38" t="n">
        <v>1</v>
      </c>
      <c r="AE198" s="38" t="n">
        <v>0.7</v>
      </c>
      <c r="AF198" s="40" t="n">
        <f aca="false">100*('Perfil e pressupostos'!$F$14*AB198+'Perfil e pressupostos'!$F$15*AC198+'Perfil e pressupostos'!$F$16*AD198+'Perfil e pressupostos'!$F$17*AE198)/'Perfil e pressupostos'!$F$18</f>
        <v>88.3</v>
      </c>
      <c r="AG198" s="41" t="n">
        <f aca="false">INDEX('Perfil e pressupostos'!$B$25:$B$28,MATCH(V198,'Perfil e pressupostos'!$A$25:$A$28,0))</f>
        <v>0.12</v>
      </c>
      <c r="AH198" s="41" t="n">
        <f aca="false">MIN('Perfil e pressupostos'!$F$29,AG198*('Perfil e pressupostos'!$F$25+'Perfil e pressupostos'!$F$26*AF198/100)*IF(AD198&lt;='Perfil e pressupostos'!$F$28,'Perfil e pressupostos'!$F$27,1))</f>
        <v>0.175152</v>
      </c>
      <c r="AI198" s="35" t="str">
        <f aca="false">IF(AQ198=0,"—",IF(AH198&gt;='Perfil e pressupostos'!$F$30,"Boa",IF(AH198&gt;='Perfil e pressupostos'!$F$31,"Média","Baixa")))</f>
        <v>Boa</v>
      </c>
      <c r="AJ198" s="7" t="s">
        <v>1098</v>
      </c>
      <c r="AK198" s="7" t="s">
        <v>215</v>
      </c>
      <c r="AL198" s="35" t="str">
        <f aca="false">IF(AK198="Prazo expirado","Prazo passado",IF(LEFT(AK198,11)="Monitorizar","Monitorizar",IF(Y198&gt;=3.5,"Prioridade",IF(Y198&gt;=3,"Candidatar (reach)","Reserva"))))</f>
        <v>Reserva</v>
      </c>
      <c r="AM198" s="7" t="s">
        <v>548</v>
      </c>
      <c r="AN198" s="42" t="s">
        <v>1143</v>
      </c>
      <c r="AO198" s="7" t="s">
        <v>361</v>
      </c>
      <c r="AP198" s="7" t="s">
        <v>218</v>
      </c>
      <c r="AQ198" s="7" t="n">
        <f aca="false">IF(OR(AK198="Prazo expirado",LEFT(AK198,11)="Monitorizar"),0,1)</f>
        <v>1</v>
      </c>
      <c r="AR198" s="41" t="n">
        <f aca="false">IF(AQ198=0,0,AH198)</f>
        <v>0.175152</v>
      </c>
      <c r="AS198" s="41" t="n">
        <f aca="false">AR198*W198/5</f>
        <v>0.0700608</v>
      </c>
      <c r="AT198" s="43" t="n">
        <f aca="false">AS198+W198/1000000+(1000-ROW())/1000000000</f>
        <v>0.070063602</v>
      </c>
      <c r="AU198" s="35" t="n">
        <f aca="false">RANK(AT198,$AT$4:$AT$227)</f>
        <v>23</v>
      </c>
      <c r="AV198" s="40" t="n">
        <f aca="false">IF(AQ198=0,"",AF198)</f>
        <v>88.3</v>
      </c>
      <c r="AW198" s="41" t="n">
        <f aca="false">IF(AQ198=0,"",AH198)</f>
        <v>0.175152</v>
      </c>
    </row>
    <row r="199" customFormat="false" ht="33.75" hidden="false" customHeight="true" outlineLevel="0" collapsed="false">
      <c r="A199" s="35" t="n">
        <v>196</v>
      </c>
      <c r="B199" s="7" t="s">
        <v>1134</v>
      </c>
      <c r="C199" s="7" t="s">
        <v>1144</v>
      </c>
      <c r="D199" s="7" t="s">
        <v>1145</v>
      </c>
      <c r="E199" s="7" t="s">
        <v>1112</v>
      </c>
      <c r="F199" s="35" t="s">
        <v>89</v>
      </c>
      <c r="G199" s="7" t="s">
        <v>311</v>
      </c>
      <c r="H199" s="7" t="s">
        <v>172</v>
      </c>
      <c r="I199" s="7" t="s">
        <v>179</v>
      </c>
      <c r="J199" s="35" t="s">
        <v>207</v>
      </c>
      <c r="K199" s="7" t="s">
        <v>765</v>
      </c>
      <c r="L199" s="7" t="s">
        <v>766</v>
      </c>
      <c r="M199" s="7" t="s">
        <v>576</v>
      </c>
      <c r="N199" s="7" t="s">
        <v>215</v>
      </c>
      <c r="O199" s="7" t="s">
        <v>179</v>
      </c>
      <c r="P199" s="35" t="str">
        <f aca="true">IF(ISNUMBER(O199),O199-TODAY(),"")</f>
        <v/>
      </c>
      <c r="Q199" s="7" t="s">
        <v>179</v>
      </c>
      <c r="R199" s="36" t="n">
        <v>1000</v>
      </c>
      <c r="S199" s="36" t="n">
        <v>1400</v>
      </c>
      <c r="T199" s="37" t="n">
        <f aca="false">IF(R199="","",AVERAGE(R199,S199))</f>
        <v>1200</v>
      </c>
      <c r="U199" s="7" t="s">
        <v>547</v>
      </c>
      <c r="V199" s="38" t="s">
        <v>517</v>
      </c>
      <c r="W199" s="38" t="n">
        <v>2</v>
      </c>
      <c r="X199" s="38" t="n">
        <v>3.8</v>
      </c>
      <c r="Y199" s="35" t="n">
        <f aca="false">ROUND(0.6*W199+0.4*X199,1)</f>
        <v>2.7</v>
      </c>
      <c r="Z199" s="38" t="s">
        <v>182</v>
      </c>
      <c r="AA199" s="38" t="n">
        <v>0.8</v>
      </c>
      <c r="AB199" s="39" t="n">
        <f aca="false">1-AA199*(1-INDEX('Perfil e pressupostos'!$C$14:$C$20,MATCH(Z199,'Perfil e pressupostos'!$A$14:$A$20,0)))</f>
        <v>0.96</v>
      </c>
      <c r="AC199" s="38" t="n">
        <v>0.8</v>
      </c>
      <c r="AD199" s="38" t="n">
        <v>1</v>
      </c>
      <c r="AE199" s="38" t="n">
        <v>0.7</v>
      </c>
      <c r="AF199" s="40" t="n">
        <f aca="false">100*('Perfil e pressupostos'!$F$14*AB199+'Perfil e pressupostos'!$F$15*AC199+'Perfil e pressupostos'!$F$16*AD199+'Perfil e pressupostos'!$F$17*AE199)/'Perfil e pressupostos'!$F$18</f>
        <v>88.3</v>
      </c>
      <c r="AG199" s="41" t="n">
        <f aca="false">INDEX('Perfil e pressupostos'!$B$25:$B$28,MATCH(V199,'Perfil e pressupostos'!$A$25:$A$28,0))</f>
        <v>0.12</v>
      </c>
      <c r="AH199" s="41" t="n">
        <f aca="false">MIN('Perfil e pressupostos'!$F$29,AG199*('Perfil e pressupostos'!$F$25+'Perfil e pressupostos'!$F$26*AF199/100)*IF(AD199&lt;='Perfil e pressupostos'!$F$28,'Perfil e pressupostos'!$F$27,1))</f>
        <v>0.175152</v>
      </c>
      <c r="AI199" s="35" t="str">
        <f aca="false">IF(AQ199=0,"—",IF(AH199&gt;='Perfil e pressupostos'!$F$30,"Boa",IF(AH199&gt;='Perfil e pressupostos'!$F$31,"Média","Baixa")))</f>
        <v>Boa</v>
      </c>
      <c r="AJ199" s="7" t="s">
        <v>1098</v>
      </c>
      <c r="AK199" s="7" t="s">
        <v>215</v>
      </c>
      <c r="AL199" s="35" t="str">
        <f aca="false">IF(AK199="Prazo expirado","Prazo passado",IF(LEFT(AK199,11)="Monitorizar","Monitorizar",IF(Y199&gt;=3.5,"Prioridade",IF(Y199&gt;=3,"Candidatar (reach)","Reserva"))))</f>
        <v>Reserva</v>
      </c>
      <c r="AM199" s="7" t="s">
        <v>548</v>
      </c>
      <c r="AN199" s="42" t="s">
        <v>1146</v>
      </c>
      <c r="AO199" s="7" t="s">
        <v>361</v>
      </c>
      <c r="AP199" s="7" t="s">
        <v>218</v>
      </c>
      <c r="AQ199" s="7" t="n">
        <f aca="false">IF(OR(AK199="Prazo expirado",LEFT(AK199,11)="Monitorizar"),0,1)</f>
        <v>1</v>
      </c>
      <c r="AR199" s="41" t="n">
        <f aca="false">IF(AQ199=0,0,AH199)</f>
        <v>0.175152</v>
      </c>
      <c r="AS199" s="41" t="n">
        <f aca="false">AR199*W199/5</f>
        <v>0.0700608</v>
      </c>
      <c r="AT199" s="43" t="n">
        <f aca="false">AS199+W199/1000000+(1000-ROW())/1000000000</f>
        <v>0.070063601</v>
      </c>
      <c r="AU199" s="35" t="n">
        <f aca="false">RANK(AT199,$AT$4:$AT$227)</f>
        <v>24</v>
      </c>
      <c r="AV199" s="40" t="n">
        <f aca="false">IF(AQ199=0,"",AF199)</f>
        <v>88.3</v>
      </c>
      <c r="AW199" s="41" t="n">
        <f aca="false">IF(AQ199=0,"",AH199)</f>
        <v>0.175152</v>
      </c>
    </row>
    <row r="200" customFormat="false" ht="33.75" hidden="false" customHeight="true" outlineLevel="0" collapsed="false">
      <c r="A200" s="35" t="n">
        <v>197</v>
      </c>
      <c r="B200" s="7" t="s">
        <v>1134</v>
      </c>
      <c r="C200" s="7" t="s">
        <v>1147</v>
      </c>
      <c r="D200" s="7" t="s">
        <v>1136</v>
      </c>
      <c r="E200" s="7" t="s">
        <v>1112</v>
      </c>
      <c r="F200" s="35" t="s">
        <v>89</v>
      </c>
      <c r="G200" s="7" t="s">
        <v>311</v>
      </c>
      <c r="H200" s="7" t="s">
        <v>172</v>
      </c>
      <c r="I200" s="7" t="s">
        <v>179</v>
      </c>
      <c r="J200" s="35" t="s">
        <v>207</v>
      </c>
      <c r="K200" s="7" t="s">
        <v>765</v>
      </c>
      <c r="L200" s="7" t="s">
        <v>766</v>
      </c>
      <c r="M200" s="7" t="s">
        <v>576</v>
      </c>
      <c r="N200" s="7" t="s">
        <v>215</v>
      </c>
      <c r="O200" s="7" t="s">
        <v>179</v>
      </c>
      <c r="P200" s="35" t="str">
        <f aca="true">IF(ISNUMBER(O200),O200-TODAY(),"")</f>
        <v/>
      </c>
      <c r="Q200" s="7" t="s">
        <v>179</v>
      </c>
      <c r="R200" s="36" t="n">
        <v>1000</v>
      </c>
      <c r="S200" s="36" t="n">
        <v>1400</v>
      </c>
      <c r="T200" s="37" t="n">
        <f aca="false">IF(R200="","",AVERAGE(R200,S200))</f>
        <v>1200</v>
      </c>
      <c r="U200" s="7" t="s">
        <v>547</v>
      </c>
      <c r="V200" s="38" t="s">
        <v>517</v>
      </c>
      <c r="W200" s="38" t="n">
        <v>2</v>
      </c>
      <c r="X200" s="38" t="n">
        <v>3.8</v>
      </c>
      <c r="Y200" s="35" t="n">
        <f aca="false">ROUND(0.6*W200+0.4*X200,1)</f>
        <v>2.7</v>
      </c>
      <c r="Z200" s="38" t="s">
        <v>182</v>
      </c>
      <c r="AA200" s="38" t="n">
        <v>0.8</v>
      </c>
      <c r="AB200" s="39" t="n">
        <f aca="false">1-AA200*(1-INDEX('Perfil e pressupostos'!$C$14:$C$20,MATCH(Z200,'Perfil e pressupostos'!$A$14:$A$20,0)))</f>
        <v>0.96</v>
      </c>
      <c r="AC200" s="38" t="n">
        <v>0.8</v>
      </c>
      <c r="AD200" s="38" t="n">
        <v>1</v>
      </c>
      <c r="AE200" s="38" t="n">
        <v>0.7</v>
      </c>
      <c r="AF200" s="40" t="n">
        <f aca="false">100*('Perfil e pressupostos'!$F$14*AB200+'Perfil e pressupostos'!$F$15*AC200+'Perfil e pressupostos'!$F$16*AD200+'Perfil e pressupostos'!$F$17*AE200)/'Perfil e pressupostos'!$F$18</f>
        <v>88.3</v>
      </c>
      <c r="AG200" s="41" t="n">
        <f aca="false">INDEX('Perfil e pressupostos'!$B$25:$B$28,MATCH(V200,'Perfil e pressupostos'!$A$25:$A$28,0))</f>
        <v>0.12</v>
      </c>
      <c r="AH200" s="41" t="n">
        <f aca="false">MIN('Perfil e pressupostos'!$F$29,AG200*('Perfil e pressupostos'!$F$25+'Perfil e pressupostos'!$F$26*AF200/100)*IF(AD200&lt;='Perfil e pressupostos'!$F$28,'Perfil e pressupostos'!$F$27,1))</f>
        <v>0.175152</v>
      </c>
      <c r="AI200" s="35" t="str">
        <f aca="false">IF(AQ200=0,"—",IF(AH200&gt;='Perfil e pressupostos'!$F$30,"Boa",IF(AH200&gt;='Perfil e pressupostos'!$F$31,"Média","Baixa")))</f>
        <v>Boa</v>
      </c>
      <c r="AJ200" s="7" t="s">
        <v>1098</v>
      </c>
      <c r="AK200" s="7" t="s">
        <v>215</v>
      </c>
      <c r="AL200" s="35" t="str">
        <f aca="false">IF(AK200="Prazo expirado","Prazo passado",IF(LEFT(AK200,11)="Monitorizar","Monitorizar",IF(Y200&gt;=3.5,"Prioridade",IF(Y200&gt;=3,"Candidatar (reach)","Reserva"))))</f>
        <v>Reserva</v>
      </c>
      <c r="AM200" s="7" t="s">
        <v>548</v>
      </c>
      <c r="AN200" s="42" t="s">
        <v>1148</v>
      </c>
      <c r="AO200" s="7" t="s">
        <v>361</v>
      </c>
      <c r="AP200" s="7" t="s">
        <v>218</v>
      </c>
      <c r="AQ200" s="7" t="n">
        <f aca="false">IF(OR(AK200="Prazo expirado",LEFT(AK200,11)="Monitorizar"),0,1)</f>
        <v>1</v>
      </c>
      <c r="AR200" s="41" t="n">
        <f aca="false">IF(AQ200=0,0,AH200)</f>
        <v>0.175152</v>
      </c>
      <c r="AS200" s="41" t="n">
        <f aca="false">AR200*W200/5</f>
        <v>0.0700608</v>
      </c>
      <c r="AT200" s="43" t="n">
        <f aca="false">AS200+W200/1000000+(1000-ROW())/1000000000</f>
        <v>0.0700636</v>
      </c>
      <c r="AU200" s="35" t="n">
        <f aca="false">RANK(AT200,$AT$4:$AT$227)</f>
        <v>25</v>
      </c>
      <c r="AV200" s="40" t="n">
        <f aca="false">IF(AQ200=0,"",AF200)</f>
        <v>88.3</v>
      </c>
      <c r="AW200" s="41" t="n">
        <f aca="false">IF(AQ200=0,"",AH200)</f>
        <v>0.175152</v>
      </c>
    </row>
    <row r="201" customFormat="false" ht="22.5" hidden="false" customHeight="true" outlineLevel="0" collapsed="false">
      <c r="A201" s="35" t="n">
        <v>198</v>
      </c>
      <c r="B201" s="7" t="s">
        <v>1134</v>
      </c>
      <c r="C201" s="7" t="s">
        <v>1149</v>
      </c>
      <c r="D201" s="7" t="s">
        <v>1150</v>
      </c>
      <c r="E201" s="7" t="s">
        <v>1112</v>
      </c>
      <c r="F201" s="35" t="s">
        <v>89</v>
      </c>
      <c r="G201" s="7" t="s">
        <v>311</v>
      </c>
      <c r="H201" s="7" t="s">
        <v>172</v>
      </c>
      <c r="I201" s="7" t="s">
        <v>179</v>
      </c>
      <c r="J201" s="35" t="s">
        <v>207</v>
      </c>
      <c r="K201" s="7" t="s">
        <v>643</v>
      </c>
      <c r="L201" s="7" t="s">
        <v>644</v>
      </c>
      <c r="M201" s="7" t="s">
        <v>576</v>
      </c>
      <c r="N201" s="7" t="s">
        <v>215</v>
      </c>
      <c r="O201" s="7" t="s">
        <v>179</v>
      </c>
      <c r="P201" s="35" t="str">
        <f aca="true">IF(ISNUMBER(O201),O201-TODAY(),"")</f>
        <v/>
      </c>
      <c r="Q201" s="7" t="s">
        <v>179</v>
      </c>
      <c r="R201" s="36" t="n">
        <v>1000</v>
      </c>
      <c r="S201" s="36" t="n">
        <v>1300</v>
      </c>
      <c r="T201" s="37" t="n">
        <f aca="false">IF(R201="","",AVERAGE(R201,S201))</f>
        <v>1150</v>
      </c>
      <c r="U201" s="7" t="s">
        <v>547</v>
      </c>
      <c r="V201" s="38" t="s">
        <v>517</v>
      </c>
      <c r="W201" s="38" t="n">
        <v>1.5</v>
      </c>
      <c r="X201" s="38" t="n">
        <v>4</v>
      </c>
      <c r="Y201" s="35" t="n">
        <f aca="false">ROUND(0.6*W201+0.4*X201,1)</f>
        <v>2.5</v>
      </c>
      <c r="Z201" s="38" t="s">
        <v>182</v>
      </c>
      <c r="AA201" s="38" t="n">
        <v>0.8</v>
      </c>
      <c r="AB201" s="39" t="n">
        <f aca="false">1-AA201*(1-INDEX('Perfil e pressupostos'!$C$14:$C$20,MATCH(Z201,'Perfil e pressupostos'!$A$14:$A$20,0)))</f>
        <v>0.96</v>
      </c>
      <c r="AC201" s="38" t="n">
        <v>0.9</v>
      </c>
      <c r="AD201" s="38" t="n">
        <v>1</v>
      </c>
      <c r="AE201" s="38" t="n">
        <v>0.7</v>
      </c>
      <c r="AF201" s="40" t="n">
        <f aca="false">100*('Perfil e pressupostos'!$F$14*AB201+'Perfil e pressupostos'!$F$15*AC201+'Perfil e pressupostos'!$F$16*AD201+'Perfil e pressupostos'!$F$17*AE201)/'Perfil e pressupostos'!$F$18</f>
        <v>91.3</v>
      </c>
      <c r="AG201" s="41" t="n">
        <f aca="false">INDEX('Perfil e pressupostos'!$B$25:$B$28,MATCH(V201,'Perfil e pressupostos'!$A$25:$A$28,0))</f>
        <v>0.12</v>
      </c>
      <c r="AH201" s="41" t="n">
        <f aca="false">MIN('Perfil e pressupostos'!$F$29,AG201*('Perfil e pressupostos'!$F$25+'Perfil e pressupostos'!$F$26*AF201/100)*IF(AD201&lt;='Perfil e pressupostos'!$F$28,'Perfil e pressupostos'!$F$27,1))</f>
        <v>0.179472</v>
      </c>
      <c r="AI201" s="35" t="str">
        <f aca="false">IF(AQ201=0,"—",IF(AH201&gt;='Perfil e pressupostos'!$F$30,"Boa",IF(AH201&gt;='Perfil e pressupostos'!$F$31,"Média","Baixa")))</f>
        <v>Boa</v>
      </c>
      <c r="AJ201" s="7" t="s">
        <v>1098</v>
      </c>
      <c r="AK201" s="7" t="s">
        <v>215</v>
      </c>
      <c r="AL201" s="35" t="str">
        <f aca="false">IF(AK201="Prazo expirado","Prazo passado",IF(LEFT(AK201,11)="Monitorizar","Monitorizar",IF(Y201&gt;=3.5,"Prioridade",IF(Y201&gt;=3,"Candidatar (reach)","Reserva"))))</f>
        <v>Reserva</v>
      </c>
      <c r="AM201" s="7" t="s">
        <v>548</v>
      </c>
      <c r="AN201" s="42" t="s">
        <v>1151</v>
      </c>
      <c r="AO201" s="7" t="s">
        <v>361</v>
      </c>
      <c r="AP201" s="7" t="s">
        <v>218</v>
      </c>
      <c r="AQ201" s="7" t="n">
        <f aca="false">IF(OR(AK201="Prazo expirado",LEFT(AK201,11)="Monitorizar"),0,1)</f>
        <v>1</v>
      </c>
      <c r="AR201" s="41" t="n">
        <f aca="false">IF(AQ201=0,0,AH201)</f>
        <v>0.179472</v>
      </c>
      <c r="AS201" s="41" t="n">
        <f aca="false">AR201*W201/5</f>
        <v>0.0538416</v>
      </c>
      <c r="AT201" s="43" t="n">
        <f aca="false">AS201+W201/1000000+(1000-ROW())/1000000000</f>
        <v>0.053843899</v>
      </c>
      <c r="AU201" s="35" t="n">
        <f aca="false">RANK(AT201,$AT$4:$AT$227)</f>
        <v>38</v>
      </c>
      <c r="AV201" s="40" t="n">
        <f aca="false">IF(AQ201=0,"",AF201)</f>
        <v>91.3</v>
      </c>
      <c r="AW201" s="41" t="n">
        <f aca="false">IF(AQ201=0,"",AH201)</f>
        <v>0.179472</v>
      </c>
    </row>
    <row r="202" customFormat="false" ht="22.5" hidden="false" customHeight="true" outlineLevel="0" collapsed="false">
      <c r="A202" s="35" t="n">
        <v>199</v>
      </c>
      <c r="B202" s="7" t="s">
        <v>1134</v>
      </c>
      <c r="C202" s="7" t="s">
        <v>1152</v>
      </c>
      <c r="D202" s="7" t="s">
        <v>1153</v>
      </c>
      <c r="E202" s="7" t="s">
        <v>1112</v>
      </c>
      <c r="F202" s="35" t="s">
        <v>89</v>
      </c>
      <c r="G202" s="7" t="s">
        <v>311</v>
      </c>
      <c r="H202" s="7" t="s">
        <v>172</v>
      </c>
      <c r="I202" s="7" t="s">
        <v>179</v>
      </c>
      <c r="J202" s="35" t="s">
        <v>207</v>
      </c>
      <c r="K202" s="7" t="s">
        <v>643</v>
      </c>
      <c r="L202" s="7" t="s">
        <v>644</v>
      </c>
      <c r="M202" s="7" t="s">
        <v>546</v>
      </c>
      <c r="N202" s="7" t="s">
        <v>215</v>
      </c>
      <c r="O202" s="7" t="s">
        <v>179</v>
      </c>
      <c r="P202" s="35" t="str">
        <f aca="true">IF(ISNUMBER(O202),O202-TODAY(),"")</f>
        <v/>
      </c>
      <c r="Q202" s="7" t="s">
        <v>179</v>
      </c>
      <c r="R202" s="36" t="n">
        <v>1000</v>
      </c>
      <c r="S202" s="36" t="n">
        <v>1300</v>
      </c>
      <c r="T202" s="37" t="n">
        <f aca="false">IF(R202="","",AVERAGE(R202,S202))</f>
        <v>1150</v>
      </c>
      <c r="U202" s="7" t="s">
        <v>547</v>
      </c>
      <c r="V202" s="38" t="s">
        <v>517</v>
      </c>
      <c r="W202" s="38" t="n">
        <v>2</v>
      </c>
      <c r="X202" s="38" t="n">
        <v>2</v>
      </c>
      <c r="Y202" s="35" t="n">
        <f aca="false">ROUND(0.6*W202+0.4*X202,1)</f>
        <v>2</v>
      </c>
      <c r="Z202" s="38" t="s">
        <v>213</v>
      </c>
      <c r="AA202" s="38" t="n">
        <v>0.9</v>
      </c>
      <c r="AB202" s="39" t="n">
        <f aca="false">1-AA202*(1-INDEX('Perfil e pressupostos'!$C$14:$C$20,MATCH(Z202,'Perfil e pressupostos'!$A$14:$A$20,0)))</f>
        <v>0.145</v>
      </c>
      <c r="AC202" s="38" t="n">
        <v>0.8</v>
      </c>
      <c r="AD202" s="38" t="n">
        <v>1</v>
      </c>
      <c r="AE202" s="38" t="n">
        <v>0.7</v>
      </c>
      <c r="AF202" s="40" t="n">
        <f aca="false">100*('Perfil e pressupostos'!$F$14*AB202+'Perfil e pressupostos'!$F$15*AC202+'Perfil e pressupostos'!$F$16*AD202+'Perfil e pressupostos'!$F$17*AE202)/'Perfil e pressupostos'!$F$18</f>
        <v>63.85</v>
      </c>
      <c r="AG202" s="41" t="n">
        <f aca="false">INDEX('Perfil e pressupostos'!$B$25:$B$28,MATCH(V202,'Perfil e pressupostos'!$A$25:$A$28,0))</f>
        <v>0.12</v>
      </c>
      <c r="AH202" s="41" t="n">
        <f aca="false">MIN('Perfil e pressupostos'!$F$29,AG202*('Perfil e pressupostos'!$F$25+'Perfil e pressupostos'!$F$26*AF202/100)*IF(AD202&lt;='Perfil e pressupostos'!$F$28,'Perfil e pressupostos'!$F$27,1))</f>
        <v>0.139944</v>
      </c>
      <c r="AI202" s="35" t="str">
        <f aca="false">IF(AQ202=0,"—",IF(AH202&gt;='Perfil e pressupostos'!$F$30,"Boa",IF(AH202&gt;='Perfil e pressupostos'!$F$31,"Média","Baixa")))</f>
        <v>Boa</v>
      </c>
      <c r="AJ202" s="7" t="s">
        <v>1154</v>
      </c>
      <c r="AK202" s="7" t="s">
        <v>215</v>
      </c>
      <c r="AL202" s="35" t="str">
        <f aca="false">IF(AK202="Prazo expirado","Prazo passado",IF(LEFT(AK202,11)="Monitorizar","Monitorizar",IF(Y202&gt;=3.5,"Prioridade",IF(Y202&gt;=3,"Candidatar (reach)","Reserva"))))</f>
        <v>Reserva</v>
      </c>
      <c r="AM202" s="7" t="s">
        <v>1155</v>
      </c>
      <c r="AN202" s="42" t="s">
        <v>1156</v>
      </c>
      <c r="AO202" s="7" t="s">
        <v>361</v>
      </c>
      <c r="AP202" s="7" t="s">
        <v>218</v>
      </c>
      <c r="AQ202" s="7" t="n">
        <f aca="false">IF(OR(AK202="Prazo expirado",LEFT(AK202,11)="Monitorizar"),0,1)</f>
        <v>1</v>
      </c>
      <c r="AR202" s="41" t="n">
        <f aca="false">IF(AQ202=0,0,AH202)</f>
        <v>0.139944</v>
      </c>
      <c r="AS202" s="41" t="n">
        <f aca="false">AR202*W202/5</f>
        <v>0.0559776</v>
      </c>
      <c r="AT202" s="43" t="n">
        <f aca="false">AS202+W202/1000000+(1000-ROW())/1000000000</f>
        <v>0.055980398</v>
      </c>
      <c r="AU202" s="35" t="n">
        <f aca="false">RANK(AT202,$AT$4:$AT$227)</f>
        <v>34</v>
      </c>
      <c r="AV202" s="40" t="n">
        <f aca="false">IF(AQ202=0,"",AF202)</f>
        <v>63.85</v>
      </c>
      <c r="AW202" s="41" t="n">
        <f aca="false">IF(AQ202=0,"",AH202)</f>
        <v>0.139944</v>
      </c>
    </row>
    <row r="203" customFormat="false" ht="33.75" hidden="false" customHeight="true" outlineLevel="0" collapsed="false">
      <c r="A203" s="35" t="n">
        <v>200</v>
      </c>
      <c r="B203" s="7" t="s">
        <v>1157</v>
      </c>
      <c r="C203" s="7" t="s">
        <v>1158</v>
      </c>
      <c r="D203" s="7" t="s">
        <v>1159</v>
      </c>
      <c r="E203" s="7" t="s">
        <v>1112</v>
      </c>
      <c r="F203" s="35" t="s">
        <v>89</v>
      </c>
      <c r="G203" s="7" t="s">
        <v>311</v>
      </c>
      <c r="H203" s="7" t="s">
        <v>172</v>
      </c>
      <c r="I203" s="7" t="s">
        <v>179</v>
      </c>
      <c r="J203" s="35" t="s">
        <v>207</v>
      </c>
      <c r="K203" s="7" t="s">
        <v>1160</v>
      </c>
      <c r="L203" s="7" t="s">
        <v>1161</v>
      </c>
      <c r="M203" s="7" t="s">
        <v>513</v>
      </c>
      <c r="N203" s="7" t="s">
        <v>1162</v>
      </c>
      <c r="O203" s="44" t="n">
        <v>46314</v>
      </c>
      <c r="P203" s="35" t="n">
        <f aca="true">IF(ISNUMBER(O203),O203-TODAY(),"")</f>
        <v>2</v>
      </c>
      <c r="Q203" s="7" t="s">
        <v>179</v>
      </c>
      <c r="R203" s="36" t="n">
        <v>1200</v>
      </c>
      <c r="S203" s="36" t="n">
        <v>1600</v>
      </c>
      <c r="T203" s="37" t="n">
        <f aca="false">IF(R203="","",AVERAGE(R203,S203))</f>
        <v>1400</v>
      </c>
      <c r="U203" s="7" t="s">
        <v>547</v>
      </c>
      <c r="V203" s="38" t="s">
        <v>318</v>
      </c>
      <c r="W203" s="38" t="n">
        <v>3</v>
      </c>
      <c r="X203" s="38" t="n">
        <v>2.9</v>
      </c>
      <c r="Y203" s="35" t="n">
        <f aca="false">ROUND(0.6*W203+0.4*X203,1)</f>
        <v>3</v>
      </c>
      <c r="Z203" s="38" t="s">
        <v>518</v>
      </c>
      <c r="AA203" s="38" t="n">
        <v>0.3</v>
      </c>
      <c r="AB203" s="39" t="n">
        <f aca="false">1-AA203*(1-INDEX('Perfil e pressupostos'!$C$14:$C$20,MATCH(Z203,'Perfil e pressupostos'!$A$14:$A$20,0)))</f>
        <v>1</v>
      </c>
      <c r="AC203" s="38" t="n">
        <v>0.5</v>
      </c>
      <c r="AD203" s="38" t="n">
        <v>0.8</v>
      </c>
      <c r="AE203" s="38" t="n">
        <v>0.85</v>
      </c>
      <c r="AF203" s="40" t="n">
        <f aca="false">100*('Perfil e pressupostos'!$F$14*AB203+'Perfil e pressupostos'!$F$15*AC203+'Perfil e pressupostos'!$F$16*AD203+'Perfil e pressupostos'!$F$17*AE203)/'Perfil e pressupostos'!$F$18</f>
        <v>77.75</v>
      </c>
      <c r="AG203" s="41" t="n">
        <f aca="false">INDEX('Perfil e pressupostos'!$B$25:$B$28,MATCH(V203,'Perfil e pressupostos'!$A$25:$A$28,0))</f>
        <v>0.08</v>
      </c>
      <c r="AH203" s="41" t="n">
        <f aca="false">MIN('Perfil e pressupostos'!$F$29,AG203*('Perfil e pressupostos'!$F$25+'Perfil e pressupostos'!$F$26*AF203/100)*IF(AD203&lt;='Perfil e pressupostos'!$F$28,'Perfil e pressupostos'!$F$27,1))</f>
        <v>0.10664</v>
      </c>
      <c r="AI203" s="35" t="str">
        <f aca="false">IF(AQ203=0,"—",IF(AH203&gt;='Perfil e pressupostos'!$F$30,"Boa",IF(AH203&gt;='Perfil e pressupostos'!$F$31,"Média","Baixa")))</f>
        <v>Boa</v>
      </c>
      <c r="AJ203" s="7" t="s">
        <v>1163</v>
      </c>
      <c r="AK203" s="7" t="s">
        <v>306</v>
      </c>
      <c r="AL203" s="35" t="str">
        <f aca="false">IF(AK203="Prazo expirado","Prazo passado",IF(LEFT(AK203,11)="Monitorizar","Monitorizar",IF(Y203&gt;=3.5,"Prioridade",IF(Y203&gt;=3,"Candidatar (reach)","Reserva"))))</f>
        <v>Candidatar (reach)</v>
      </c>
      <c r="AM203" s="7" t="s">
        <v>1164</v>
      </c>
      <c r="AN203" s="42" t="s">
        <v>1165</v>
      </c>
      <c r="AO203" s="7" t="s">
        <v>361</v>
      </c>
      <c r="AP203" s="7" t="s">
        <v>188</v>
      </c>
      <c r="AQ203" s="7" t="n">
        <f aca="false">IF(OR(AK203="Prazo expirado",LEFT(AK203,11)="Monitorizar"),0,1)</f>
        <v>1</v>
      </c>
      <c r="AR203" s="41" t="n">
        <f aca="false">IF(AQ203=0,0,AH203)</f>
        <v>0.10664</v>
      </c>
      <c r="AS203" s="41" t="n">
        <f aca="false">AR203*W203/5</f>
        <v>0.063984</v>
      </c>
      <c r="AT203" s="43" t="n">
        <f aca="false">AS203+W203/1000000+(1000-ROW())/1000000000</f>
        <v>0.063987797</v>
      </c>
      <c r="AU203" s="35" t="n">
        <f aca="false">RANK(AT203,$AT$4:$AT$227)</f>
        <v>30</v>
      </c>
      <c r="AV203" s="40" t="n">
        <f aca="false">IF(AQ203=0,"",AF203)</f>
        <v>77.75</v>
      </c>
      <c r="AW203" s="41" t="n">
        <f aca="false">IF(AQ203=0,"",AH203)</f>
        <v>0.10664</v>
      </c>
    </row>
    <row r="204" customFormat="false" ht="33.75" hidden="false" customHeight="true" outlineLevel="0" collapsed="false">
      <c r="A204" s="35" t="n">
        <v>201</v>
      </c>
      <c r="B204" s="7" t="s">
        <v>1157</v>
      </c>
      <c r="C204" s="7" t="s">
        <v>1166</v>
      </c>
      <c r="D204" s="7" t="s">
        <v>1167</v>
      </c>
      <c r="E204" s="7" t="s">
        <v>1112</v>
      </c>
      <c r="F204" s="35" t="s">
        <v>89</v>
      </c>
      <c r="G204" s="7" t="s">
        <v>311</v>
      </c>
      <c r="H204" s="7" t="s">
        <v>172</v>
      </c>
      <c r="I204" s="7" t="s">
        <v>179</v>
      </c>
      <c r="J204" s="35" t="s">
        <v>965</v>
      </c>
      <c r="K204" s="7" t="s">
        <v>1168</v>
      </c>
      <c r="L204" s="7" t="s">
        <v>1169</v>
      </c>
      <c r="M204" s="7" t="s">
        <v>576</v>
      </c>
      <c r="N204" s="7" t="s">
        <v>215</v>
      </c>
      <c r="O204" s="44" t="n">
        <v>46307</v>
      </c>
      <c r="P204" s="35" t="n">
        <f aca="true">IF(ISNUMBER(O204),O204-TODAY(),"")</f>
        <v>-5</v>
      </c>
      <c r="Q204" s="7" t="s">
        <v>179</v>
      </c>
      <c r="R204" s="36" t="n">
        <v>1000</v>
      </c>
      <c r="S204" s="36" t="n">
        <v>1300</v>
      </c>
      <c r="T204" s="37" t="n">
        <f aca="false">IF(R204="","",AVERAGE(R204,S204))</f>
        <v>1150</v>
      </c>
      <c r="U204" s="7" t="s">
        <v>547</v>
      </c>
      <c r="V204" s="38" t="s">
        <v>318</v>
      </c>
      <c r="W204" s="38" t="n">
        <v>3</v>
      </c>
      <c r="X204" s="38" t="n">
        <v>4.1</v>
      </c>
      <c r="Y204" s="35" t="n">
        <f aca="false">ROUND(0.6*W204+0.4*X204,1)</f>
        <v>3.4</v>
      </c>
      <c r="Z204" s="38" t="s">
        <v>518</v>
      </c>
      <c r="AA204" s="38" t="n">
        <v>0.3</v>
      </c>
      <c r="AB204" s="39" t="n">
        <f aca="false">1-AA204*(1-INDEX('Perfil e pressupostos'!$C$14:$C$20,MATCH(Z204,'Perfil e pressupostos'!$A$14:$A$20,0)))</f>
        <v>1</v>
      </c>
      <c r="AC204" s="38" t="n">
        <v>0.8</v>
      </c>
      <c r="AD204" s="38" t="n">
        <v>1</v>
      </c>
      <c r="AE204" s="38" t="n">
        <v>0.85</v>
      </c>
      <c r="AF204" s="40" t="n">
        <f aca="false">100*('Perfil e pressupostos'!$F$14*AB204+'Perfil e pressupostos'!$F$15*AC204+'Perfil e pressupostos'!$F$16*AD204+'Perfil e pressupostos'!$F$17*AE204)/'Perfil e pressupostos'!$F$18</f>
        <v>91.75</v>
      </c>
      <c r="AG204" s="41" t="n">
        <f aca="false">INDEX('Perfil e pressupostos'!$B$25:$B$28,MATCH(V204,'Perfil e pressupostos'!$A$25:$A$28,0))</f>
        <v>0.08</v>
      </c>
      <c r="AH204" s="41" t="n">
        <f aca="false">MIN('Perfil e pressupostos'!$F$29,AG204*('Perfil e pressupostos'!$F$25+'Perfil e pressupostos'!$F$26*AF204/100)*IF(AD204&lt;='Perfil e pressupostos'!$F$28,'Perfil e pressupostos'!$F$27,1))</f>
        <v>0.12008</v>
      </c>
      <c r="AI204" s="35" t="str">
        <f aca="false">IF(AQ204=0,"—",IF(AH204&gt;='Perfil e pressupostos'!$F$30,"Boa",IF(AH204&gt;='Perfil e pressupostos'!$F$31,"Média","Baixa")))</f>
        <v>—</v>
      </c>
      <c r="AJ204" s="7" t="s">
        <v>961</v>
      </c>
      <c r="AK204" s="7" t="s">
        <v>292</v>
      </c>
      <c r="AL204" s="35" t="str">
        <f aca="false">IF(AK204="Prazo expirado","Prazo passado",IF(LEFT(AK204,11)="Monitorizar","Monitorizar",IF(Y204&gt;=3.5,"Prioridade",IF(Y204&gt;=3,"Candidatar (reach)","Reserva"))))</f>
        <v>Prazo passado</v>
      </c>
      <c r="AM204" s="7" t="s">
        <v>1170</v>
      </c>
      <c r="AN204" s="42" t="s">
        <v>1171</v>
      </c>
      <c r="AO204" s="7" t="s">
        <v>361</v>
      </c>
      <c r="AP204" s="7" t="s">
        <v>188</v>
      </c>
      <c r="AQ204" s="7" t="n">
        <f aca="false">IF(OR(AK204="Prazo expirado",LEFT(AK204,11)="Monitorizar"),0,1)</f>
        <v>0</v>
      </c>
      <c r="AR204" s="41" t="n">
        <f aca="false">IF(AQ204=0,0,AH204)</f>
        <v>0</v>
      </c>
      <c r="AS204" s="41" t="n">
        <f aca="false">AR204*W204/5</f>
        <v>0</v>
      </c>
      <c r="AT204" s="43" t="n">
        <f aca="false">AS204+W204/1000000+(1000-ROW())/1000000000</f>
        <v>3.796E-006</v>
      </c>
      <c r="AU204" s="35" t="n">
        <f aca="false">RANK(AT204,$AT$4:$AT$227)</f>
        <v>211</v>
      </c>
      <c r="AV204" s="40" t="str">
        <f aca="false">IF(AQ204=0,"",AF204)</f>
        <v/>
      </c>
      <c r="AW204" s="41" t="str">
        <f aca="false">IF(AQ204=0,"",AH204)</f>
        <v/>
      </c>
    </row>
    <row r="205" customFormat="false" ht="33.75" hidden="false" customHeight="true" outlineLevel="0" collapsed="false">
      <c r="A205" s="35" t="n">
        <v>202</v>
      </c>
      <c r="B205" s="7" t="s">
        <v>1172</v>
      </c>
      <c r="C205" s="7" t="s">
        <v>1173</v>
      </c>
      <c r="D205" s="7" t="s">
        <v>947</v>
      </c>
      <c r="E205" s="7" t="s">
        <v>1112</v>
      </c>
      <c r="F205" s="35" t="s">
        <v>89</v>
      </c>
      <c r="G205" s="7" t="s">
        <v>311</v>
      </c>
      <c r="H205" s="7" t="s">
        <v>172</v>
      </c>
      <c r="I205" s="7" t="s">
        <v>179</v>
      </c>
      <c r="J205" s="35" t="s">
        <v>965</v>
      </c>
      <c r="K205" s="7" t="s">
        <v>1174</v>
      </c>
      <c r="L205" s="7" t="s">
        <v>1175</v>
      </c>
      <c r="M205" s="7" t="s">
        <v>576</v>
      </c>
      <c r="N205" s="7" t="s">
        <v>215</v>
      </c>
      <c r="O205" s="7" t="s">
        <v>179</v>
      </c>
      <c r="P205" s="35" t="str">
        <f aca="true">IF(ISNUMBER(O205),O205-TODAY(),"")</f>
        <v/>
      </c>
      <c r="Q205" s="7" t="s">
        <v>179</v>
      </c>
      <c r="R205" s="36" t="n">
        <v>1200</v>
      </c>
      <c r="S205" s="36" t="n">
        <v>1600</v>
      </c>
      <c r="T205" s="37" t="n">
        <f aca="false">IF(R205="","",AVERAGE(R205,S205))</f>
        <v>1400</v>
      </c>
      <c r="U205" s="7" t="s">
        <v>547</v>
      </c>
      <c r="V205" s="38" t="s">
        <v>318</v>
      </c>
      <c r="W205" s="38" t="n">
        <v>2.5</v>
      </c>
      <c r="X205" s="38" t="n">
        <v>3.9</v>
      </c>
      <c r="Y205" s="35" t="n">
        <f aca="false">ROUND(0.6*W205+0.4*X205,1)</f>
        <v>3.1</v>
      </c>
      <c r="Z205" s="38" t="s">
        <v>518</v>
      </c>
      <c r="AA205" s="38" t="n">
        <v>0.3</v>
      </c>
      <c r="AB205" s="39" t="n">
        <f aca="false">1-AA205*(1-INDEX('Perfil e pressupostos'!$C$14:$C$20,MATCH(Z205,'Perfil e pressupostos'!$A$14:$A$20,0)))</f>
        <v>1</v>
      </c>
      <c r="AC205" s="38" t="n">
        <v>0.9</v>
      </c>
      <c r="AD205" s="38" t="n">
        <v>0.9</v>
      </c>
      <c r="AE205" s="38" t="n">
        <v>0.7</v>
      </c>
      <c r="AF205" s="40" t="n">
        <f aca="false">100*('Perfil e pressupostos'!$F$14*AB205+'Perfil e pressupostos'!$F$15*AC205+'Perfil e pressupostos'!$F$16*AD205+'Perfil e pressupostos'!$F$17*AE205)/'Perfil e pressupostos'!$F$18</f>
        <v>90</v>
      </c>
      <c r="AG205" s="41" t="n">
        <f aca="false">INDEX('Perfil e pressupostos'!$B$25:$B$28,MATCH(V205,'Perfil e pressupostos'!$A$25:$A$28,0))</f>
        <v>0.08</v>
      </c>
      <c r="AH205" s="41" t="n">
        <f aca="false">MIN('Perfil e pressupostos'!$F$29,AG205*('Perfil e pressupostos'!$F$25+'Perfil e pressupostos'!$F$26*AF205/100)*IF(AD205&lt;='Perfil e pressupostos'!$F$28,'Perfil e pressupostos'!$F$27,1))</f>
        <v>0.1184</v>
      </c>
      <c r="AI205" s="35" t="str">
        <f aca="false">IF(AQ205=0,"—",IF(AH205&gt;='Perfil e pressupostos'!$F$30,"Boa",IF(AH205&gt;='Perfil e pressupostos'!$F$31,"Média","Baixa")))</f>
        <v>—</v>
      </c>
      <c r="AJ205" s="7" t="s">
        <v>961</v>
      </c>
      <c r="AK205" s="7" t="s">
        <v>1058</v>
      </c>
      <c r="AL205" s="35" t="str">
        <f aca="false">IF(AK205="Prazo expirado","Prazo passado",IF(LEFT(AK205,11)="Monitorizar","Monitorizar",IF(Y205&gt;=3.5,"Prioridade",IF(Y205&gt;=3,"Candidatar (reach)","Reserva"))))</f>
        <v>Monitorizar</v>
      </c>
      <c r="AM205" s="7" t="s">
        <v>1176</v>
      </c>
      <c r="AN205" s="42" t="s">
        <v>1177</v>
      </c>
      <c r="AO205" s="7" t="s">
        <v>187</v>
      </c>
      <c r="AP205" s="7" t="s">
        <v>218</v>
      </c>
      <c r="AQ205" s="7" t="n">
        <f aca="false">IF(OR(AK205="Prazo expirado",LEFT(AK205,11)="Monitorizar"),0,1)</f>
        <v>0</v>
      </c>
      <c r="AR205" s="41" t="n">
        <f aca="false">IF(AQ205=0,0,AH205)</f>
        <v>0</v>
      </c>
      <c r="AS205" s="41" t="n">
        <f aca="false">AR205*W205/5</f>
        <v>0</v>
      </c>
      <c r="AT205" s="43" t="n">
        <f aca="false">AS205+W205/1000000+(1000-ROW())/1000000000</f>
        <v>3.295E-006</v>
      </c>
      <c r="AU205" s="35" t="n">
        <f aca="false">RANK(AT205,$AT$4:$AT$227)</f>
        <v>216</v>
      </c>
      <c r="AV205" s="40" t="str">
        <f aca="false">IF(AQ205=0,"",AF205)</f>
        <v/>
      </c>
      <c r="AW205" s="41" t="str">
        <f aca="false">IF(AQ205=0,"",AH205)</f>
        <v/>
      </c>
    </row>
    <row r="206" customFormat="false" ht="22.5" hidden="false" customHeight="true" outlineLevel="0" collapsed="false">
      <c r="A206" s="35" t="n">
        <v>203</v>
      </c>
      <c r="B206" s="7" t="s">
        <v>1178</v>
      </c>
      <c r="C206" s="7" t="s">
        <v>1179</v>
      </c>
      <c r="D206" s="7" t="s">
        <v>947</v>
      </c>
      <c r="E206" s="7" t="s">
        <v>1180</v>
      </c>
      <c r="F206" s="35" t="s">
        <v>89</v>
      </c>
      <c r="G206" s="7" t="s">
        <v>311</v>
      </c>
      <c r="H206" s="7" t="s">
        <v>172</v>
      </c>
      <c r="I206" s="7" t="s">
        <v>179</v>
      </c>
      <c r="J206" s="35" t="s">
        <v>1181</v>
      </c>
      <c r="K206" s="7" t="s">
        <v>1182</v>
      </c>
      <c r="L206" s="7" t="s">
        <v>1183</v>
      </c>
      <c r="M206" s="7" t="s">
        <v>576</v>
      </c>
      <c r="N206" s="7" t="s">
        <v>215</v>
      </c>
      <c r="O206" s="7" t="s">
        <v>179</v>
      </c>
      <c r="P206" s="35" t="str">
        <f aca="true">IF(ISNUMBER(O206),O206-TODAY(),"")</f>
        <v/>
      </c>
      <c r="Q206" s="7" t="s">
        <v>179</v>
      </c>
      <c r="R206" s="36" t="n">
        <v>1200</v>
      </c>
      <c r="S206" s="36" t="n">
        <v>1600</v>
      </c>
      <c r="T206" s="37" t="n">
        <f aca="false">IF(R206="","",AVERAGE(R206,S206))</f>
        <v>1400</v>
      </c>
      <c r="U206" s="7" t="s">
        <v>547</v>
      </c>
      <c r="V206" s="38" t="s">
        <v>318</v>
      </c>
      <c r="W206" s="38" t="n">
        <v>3.5</v>
      </c>
      <c r="X206" s="38" t="n">
        <v>3.5</v>
      </c>
      <c r="Y206" s="35" t="n">
        <f aca="false">ROUND(0.6*W206+0.4*X206,1)</f>
        <v>3.5</v>
      </c>
      <c r="Z206" s="38" t="s">
        <v>518</v>
      </c>
      <c r="AA206" s="38" t="n">
        <v>0.3</v>
      </c>
      <c r="AB206" s="39" t="n">
        <f aca="false">1-AA206*(1-INDEX('Perfil e pressupostos'!$C$14:$C$20,MATCH(Z206,'Perfil e pressupostos'!$A$14:$A$20,0)))</f>
        <v>1</v>
      </c>
      <c r="AC206" s="38" t="n">
        <v>0.9</v>
      </c>
      <c r="AD206" s="38" t="n">
        <v>0.7</v>
      </c>
      <c r="AE206" s="38" t="n">
        <v>0.7</v>
      </c>
      <c r="AF206" s="40" t="n">
        <f aca="false">100*('Perfil e pressupostos'!$F$14*AB206+'Perfil e pressupostos'!$F$15*AC206+'Perfil e pressupostos'!$F$16*AD206+'Perfil e pressupostos'!$F$17*AE206)/'Perfil e pressupostos'!$F$18</f>
        <v>85</v>
      </c>
      <c r="AG206" s="41" t="n">
        <f aca="false">INDEX('Perfil e pressupostos'!$B$25:$B$28,MATCH(V206,'Perfil e pressupostos'!$A$25:$A$28,0))</f>
        <v>0.08</v>
      </c>
      <c r="AH206" s="41" t="n">
        <f aca="false">MIN('Perfil e pressupostos'!$F$29,AG206*('Perfil e pressupostos'!$F$25+'Perfil e pressupostos'!$F$26*AF206/100)*IF(AD206&lt;='Perfil e pressupostos'!$F$28,'Perfil e pressupostos'!$F$27,1))</f>
        <v>0.1136</v>
      </c>
      <c r="AI206" s="35" t="str">
        <f aca="false">IF(AQ206=0,"—",IF(AH206&gt;='Perfil e pressupostos'!$F$30,"Boa",IF(AH206&gt;='Perfil e pressupostos'!$F$31,"Média","Baixa")))</f>
        <v>—</v>
      </c>
      <c r="AJ206" s="7" t="s">
        <v>952</v>
      </c>
      <c r="AK206" s="7" t="s">
        <v>1058</v>
      </c>
      <c r="AL206" s="35" t="str">
        <f aca="false">IF(AK206="Prazo expirado","Prazo passado",IF(LEFT(AK206,11)="Monitorizar","Monitorizar",IF(Y206&gt;=3.5,"Prioridade",IF(Y206&gt;=3,"Candidatar (reach)","Reserva"))))</f>
        <v>Monitorizar</v>
      </c>
      <c r="AM206" s="7" t="s">
        <v>1184</v>
      </c>
      <c r="AN206" s="42" t="s">
        <v>1185</v>
      </c>
      <c r="AO206" s="7" t="s">
        <v>295</v>
      </c>
      <c r="AP206" s="7" t="s">
        <v>218</v>
      </c>
      <c r="AQ206" s="7" t="n">
        <f aca="false">IF(OR(AK206="Prazo expirado",LEFT(AK206,11)="Monitorizar"),0,1)</f>
        <v>0</v>
      </c>
      <c r="AR206" s="41" t="n">
        <f aca="false">IF(AQ206=0,0,AH206)</f>
        <v>0</v>
      </c>
      <c r="AS206" s="41" t="n">
        <f aca="false">AR206*W206/5</f>
        <v>0</v>
      </c>
      <c r="AT206" s="43" t="n">
        <f aca="false">AS206+W206/1000000+(1000-ROW())/1000000000</f>
        <v>4.294E-006</v>
      </c>
      <c r="AU206" s="35" t="n">
        <f aca="false">RANK(AT206,$AT$4:$AT$227)</f>
        <v>206</v>
      </c>
      <c r="AV206" s="40" t="str">
        <f aca="false">IF(AQ206=0,"",AF206)</f>
        <v/>
      </c>
      <c r="AW206" s="41" t="str">
        <f aca="false">IF(AQ206=0,"",AH206)</f>
        <v/>
      </c>
    </row>
    <row r="207" customFormat="false" ht="33.75" hidden="false" customHeight="true" outlineLevel="0" collapsed="false">
      <c r="A207" s="35" t="n">
        <v>204</v>
      </c>
      <c r="B207" s="7" t="s">
        <v>1186</v>
      </c>
      <c r="C207" s="7" t="s">
        <v>1187</v>
      </c>
      <c r="D207" s="7" t="s">
        <v>947</v>
      </c>
      <c r="E207" s="7" t="s">
        <v>1180</v>
      </c>
      <c r="F207" s="35" t="s">
        <v>89</v>
      </c>
      <c r="G207" s="7" t="s">
        <v>311</v>
      </c>
      <c r="H207" s="7" t="s">
        <v>172</v>
      </c>
      <c r="I207" s="7" t="s">
        <v>179</v>
      </c>
      <c r="J207" s="35" t="s">
        <v>965</v>
      </c>
      <c r="K207" s="7" t="s">
        <v>1174</v>
      </c>
      <c r="L207" s="7" t="s">
        <v>1188</v>
      </c>
      <c r="M207" s="7" t="s">
        <v>576</v>
      </c>
      <c r="N207" s="7" t="s">
        <v>215</v>
      </c>
      <c r="O207" s="7" t="s">
        <v>179</v>
      </c>
      <c r="P207" s="35" t="str">
        <f aca="true">IF(ISNUMBER(O207),O207-TODAY(),"")</f>
        <v/>
      </c>
      <c r="Q207" s="7" t="s">
        <v>179</v>
      </c>
      <c r="R207" s="36" t="n">
        <v>1200</v>
      </c>
      <c r="S207" s="36" t="n">
        <v>1500</v>
      </c>
      <c r="T207" s="37" t="n">
        <f aca="false">IF(R207="","",AVERAGE(R207,S207))</f>
        <v>1350</v>
      </c>
      <c r="U207" s="7" t="s">
        <v>547</v>
      </c>
      <c r="V207" s="38" t="s">
        <v>318</v>
      </c>
      <c r="W207" s="38" t="n">
        <v>3</v>
      </c>
      <c r="X207" s="38" t="n">
        <v>3.9</v>
      </c>
      <c r="Y207" s="35" t="n">
        <f aca="false">ROUND(0.6*W207+0.4*X207,1)</f>
        <v>3.4</v>
      </c>
      <c r="Z207" s="38" t="s">
        <v>518</v>
      </c>
      <c r="AA207" s="38" t="n">
        <v>0.3</v>
      </c>
      <c r="AB207" s="39" t="n">
        <f aca="false">1-AA207*(1-INDEX('Perfil e pressupostos'!$C$14:$C$20,MATCH(Z207,'Perfil e pressupostos'!$A$14:$A$20,0)))</f>
        <v>1</v>
      </c>
      <c r="AC207" s="38" t="n">
        <v>0.9</v>
      </c>
      <c r="AD207" s="38" t="n">
        <v>0.9</v>
      </c>
      <c r="AE207" s="38" t="n">
        <v>0.7</v>
      </c>
      <c r="AF207" s="40" t="n">
        <f aca="false">100*('Perfil e pressupostos'!$F$14*AB207+'Perfil e pressupostos'!$F$15*AC207+'Perfil e pressupostos'!$F$16*AD207+'Perfil e pressupostos'!$F$17*AE207)/'Perfil e pressupostos'!$F$18</f>
        <v>90</v>
      </c>
      <c r="AG207" s="41" t="n">
        <f aca="false">INDEX('Perfil e pressupostos'!$B$25:$B$28,MATCH(V207,'Perfil e pressupostos'!$A$25:$A$28,0))</f>
        <v>0.08</v>
      </c>
      <c r="AH207" s="41" t="n">
        <f aca="false">MIN('Perfil e pressupostos'!$F$29,AG207*('Perfil e pressupostos'!$F$25+'Perfil e pressupostos'!$F$26*AF207/100)*IF(AD207&lt;='Perfil e pressupostos'!$F$28,'Perfil e pressupostos'!$F$27,1))</f>
        <v>0.1184</v>
      </c>
      <c r="AI207" s="35" t="str">
        <f aca="false">IF(AQ207=0,"—",IF(AH207&gt;='Perfil e pressupostos'!$F$30,"Boa",IF(AH207&gt;='Perfil e pressupostos'!$F$31,"Média","Baixa")))</f>
        <v>—</v>
      </c>
      <c r="AJ207" s="7" t="s">
        <v>961</v>
      </c>
      <c r="AK207" s="7" t="s">
        <v>1058</v>
      </c>
      <c r="AL207" s="35" t="str">
        <f aca="false">IF(AK207="Prazo expirado","Prazo passado",IF(LEFT(AK207,11)="Monitorizar","Monitorizar",IF(Y207&gt;=3.5,"Prioridade",IF(Y207&gt;=3,"Candidatar (reach)","Reserva"))))</f>
        <v>Monitorizar</v>
      </c>
      <c r="AM207" s="7" t="s">
        <v>1189</v>
      </c>
      <c r="AN207" s="42" t="s">
        <v>1190</v>
      </c>
      <c r="AO207" s="7" t="s">
        <v>295</v>
      </c>
      <c r="AP207" s="7" t="s">
        <v>218</v>
      </c>
      <c r="AQ207" s="7" t="n">
        <f aca="false">IF(OR(AK207="Prazo expirado",LEFT(AK207,11)="Monitorizar"),0,1)</f>
        <v>0</v>
      </c>
      <c r="AR207" s="41" t="n">
        <f aca="false">IF(AQ207=0,0,AH207)</f>
        <v>0</v>
      </c>
      <c r="AS207" s="41" t="n">
        <f aca="false">AR207*W207/5</f>
        <v>0</v>
      </c>
      <c r="AT207" s="43" t="n">
        <f aca="false">AS207+W207/1000000+(1000-ROW())/1000000000</f>
        <v>3.793E-006</v>
      </c>
      <c r="AU207" s="35" t="n">
        <f aca="false">RANK(AT207,$AT$4:$AT$227)</f>
        <v>212</v>
      </c>
      <c r="AV207" s="40" t="str">
        <f aca="false">IF(AQ207=0,"",AF207)</f>
        <v/>
      </c>
      <c r="AW207" s="41" t="str">
        <f aca="false">IF(AQ207=0,"",AH207)</f>
        <v/>
      </c>
    </row>
    <row r="208" customFormat="false" ht="33.75" hidden="false" customHeight="true" outlineLevel="0" collapsed="false">
      <c r="A208" s="35" t="n">
        <v>205</v>
      </c>
      <c r="B208" s="7" t="s">
        <v>1191</v>
      </c>
      <c r="C208" s="7" t="s">
        <v>1192</v>
      </c>
      <c r="D208" s="7" t="s">
        <v>947</v>
      </c>
      <c r="E208" s="7" t="s">
        <v>509</v>
      </c>
      <c r="F208" s="35" t="s">
        <v>89</v>
      </c>
      <c r="G208" s="7" t="s">
        <v>1120</v>
      </c>
      <c r="H208" s="7" t="s">
        <v>172</v>
      </c>
      <c r="I208" s="7" t="s">
        <v>179</v>
      </c>
      <c r="J208" s="35" t="s">
        <v>987</v>
      </c>
      <c r="K208" s="7" t="s">
        <v>1174</v>
      </c>
      <c r="L208" s="7" t="s">
        <v>1193</v>
      </c>
      <c r="M208" s="7" t="s">
        <v>576</v>
      </c>
      <c r="N208" s="7" t="s">
        <v>215</v>
      </c>
      <c r="O208" s="7" t="s">
        <v>179</v>
      </c>
      <c r="P208" s="35" t="str">
        <f aca="true">IF(ISNUMBER(O208),O208-TODAY(),"")</f>
        <v/>
      </c>
      <c r="Q208" s="7" t="s">
        <v>179</v>
      </c>
      <c r="R208" s="36" t="n">
        <v>1100</v>
      </c>
      <c r="S208" s="36" t="n">
        <v>1500</v>
      </c>
      <c r="T208" s="37" t="n">
        <f aca="false">IF(R208="","",AVERAGE(R208,S208))</f>
        <v>1300</v>
      </c>
      <c r="U208" s="7" t="s">
        <v>547</v>
      </c>
      <c r="V208" s="38" t="s">
        <v>318</v>
      </c>
      <c r="W208" s="38" t="n">
        <v>3</v>
      </c>
      <c r="X208" s="38" t="n">
        <v>4.2</v>
      </c>
      <c r="Y208" s="35" t="n">
        <f aca="false">ROUND(0.6*W208+0.4*X208,1)</f>
        <v>3.5</v>
      </c>
      <c r="Z208" s="38" t="s">
        <v>518</v>
      </c>
      <c r="AA208" s="38" t="n">
        <v>0.3</v>
      </c>
      <c r="AB208" s="39" t="n">
        <f aca="false">1-AA208*(1-INDEX('Perfil e pressupostos'!$C$14:$C$20,MATCH(Z208,'Perfil e pressupostos'!$A$14:$A$20,0)))</f>
        <v>1</v>
      </c>
      <c r="AC208" s="38" t="n">
        <v>0.9</v>
      </c>
      <c r="AD208" s="38" t="n">
        <v>1</v>
      </c>
      <c r="AE208" s="38" t="n">
        <v>0.7</v>
      </c>
      <c r="AF208" s="40" t="n">
        <f aca="false">100*('Perfil e pressupostos'!$F$14*AB208+'Perfil e pressupostos'!$F$15*AC208+'Perfil e pressupostos'!$F$16*AD208+'Perfil e pressupostos'!$F$17*AE208)/'Perfil e pressupostos'!$F$18</f>
        <v>92.5</v>
      </c>
      <c r="AG208" s="41" t="n">
        <f aca="false">INDEX('Perfil e pressupostos'!$B$25:$B$28,MATCH(V208,'Perfil e pressupostos'!$A$25:$A$28,0))</f>
        <v>0.08</v>
      </c>
      <c r="AH208" s="41" t="n">
        <f aca="false">MIN('Perfil e pressupostos'!$F$29,AG208*('Perfil e pressupostos'!$F$25+'Perfil e pressupostos'!$F$26*AF208/100)*IF(AD208&lt;='Perfil e pressupostos'!$F$28,'Perfil e pressupostos'!$F$27,1))</f>
        <v>0.1208</v>
      </c>
      <c r="AI208" s="35" t="str">
        <f aca="false">IF(AQ208=0,"—",IF(AH208&gt;='Perfil e pressupostos'!$F$30,"Boa",IF(AH208&gt;='Perfil e pressupostos'!$F$31,"Média","Baixa")))</f>
        <v>—</v>
      </c>
      <c r="AJ208" s="7" t="s">
        <v>961</v>
      </c>
      <c r="AK208" s="7" t="s">
        <v>1058</v>
      </c>
      <c r="AL208" s="35" t="str">
        <f aca="false">IF(AK208="Prazo expirado","Prazo passado",IF(LEFT(AK208,11)="Monitorizar","Monitorizar",IF(Y208&gt;=3.5,"Prioridade",IF(Y208&gt;=3,"Candidatar (reach)","Reserva"))))</f>
        <v>Monitorizar</v>
      </c>
      <c r="AM208" s="7" t="s">
        <v>1194</v>
      </c>
      <c r="AN208" s="42" t="s">
        <v>1195</v>
      </c>
      <c r="AO208" s="7" t="s">
        <v>295</v>
      </c>
      <c r="AP208" s="7" t="s">
        <v>218</v>
      </c>
      <c r="AQ208" s="7" t="n">
        <f aca="false">IF(OR(AK208="Prazo expirado",LEFT(AK208,11)="Monitorizar"),0,1)</f>
        <v>0</v>
      </c>
      <c r="AR208" s="41" t="n">
        <f aca="false">IF(AQ208=0,0,AH208)</f>
        <v>0</v>
      </c>
      <c r="AS208" s="41" t="n">
        <f aca="false">AR208*W208/5</f>
        <v>0</v>
      </c>
      <c r="AT208" s="43" t="n">
        <f aca="false">AS208+W208/1000000+(1000-ROW())/1000000000</f>
        <v>3.792E-006</v>
      </c>
      <c r="AU208" s="35" t="n">
        <f aca="false">RANK(AT208,$AT$4:$AT$227)</f>
        <v>213</v>
      </c>
      <c r="AV208" s="40" t="str">
        <f aca="false">IF(AQ208=0,"",AF208)</f>
        <v/>
      </c>
      <c r="AW208" s="41" t="str">
        <f aca="false">IF(AQ208=0,"",AH208)</f>
        <v/>
      </c>
    </row>
    <row r="209" customFormat="false" ht="22.5" hidden="false" customHeight="true" outlineLevel="0" collapsed="false">
      <c r="A209" s="35" t="n">
        <v>206</v>
      </c>
      <c r="B209" s="7" t="s">
        <v>1196</v>
      </c>
      <c r="C209" s="7" t="s">
        <v>1197</v>
      </c>
      <c r="D209" s="7" t="s">
        <v>1198</v>
      </c>
      <c r="E209" s="7" t="s">
        <v>325</v>
      </c>
      <c r="F209" s="35" t="s">
        <v>89</v>
      </c>
      <c r="G209" s="7" t="s">
        <v>311</v>
      </c>
      <c r="H209" s="7" t="s">
        <v>172</v>
      </c>
      <c r="I209" s="7" t="s">
        <v>179</v>
      </c>
      <c r="J209" s="35" t="s">
        <v>207</v>
      </c>
      <c r="K209" s="7" t="s">
        <v>643</v>
      </c>
      <c r="L209" s="7" t="s">
        <v>1199</v>
      </c>
      <c r="M209" s="7" t="s">
        <v>576</v>
      </c>
      <c r="N209" s="7" t="s">
        <v>215</v>
      </c>
      <c r="O209" s="7" t="s">
        <v>179</v>
      </c>
      <c r="P209" s="35" t="str">
        <f aca="true">IF(ISNUMBER(O209),O209-TODAY(),"")</f>
        <v/>
      </c>
      <c r="Q209" s="7" t="s">
        <v>179</v>
      </c>
      <c r="R209" s="36" t="n">
        <v>1100</v>
      </c>
      <c r="S209" s="36" t="n">
        <v>1400</v>
      </c>
      <c r="T209" s="37" t="n">
        <f aca="false">IF(R209="","",AVERAGE(R209,S209))</f>
        <v>1250</v>
      </c>
      <c r="U209" s="7" t="s">
        <v>547</v>
      </c>
      <c r="V209" s="38" t="s">
        <v>517</v>
      </c>
      <c r="W209" s="38" t="n">
        <v>2.5</v>
      </c>
      <c r="X209" s="38" t="n">
        <v>4.2</v>
      </c>
      <c r="Y209" s="35" t="n">
        <f aca="false">ROUND(0.6*W209+0.4*X209,1)</f>
        <v>3.2</v>
      </c>
      <c r="Z209" s="38" t="s">
        <v>518</v>
      </c>
      <c r="AA209" s="38" t="n">
        <v>0.3</v>
      </c>
      <c r="AB209" s="39" t="n">
        <f aca="false">1-AA209*(1-INDEX('Perfil e pressupostos'!$C$14:$C$20,MATCH(Z209,'Perfil e pressupostos'!$A$14:$A$20,0)))</f>
        <v>1</v>
      </c>
      <c r="AC209" s="38" t="n">
        <v>0.9</v>
      </c>
      <c r="AD209" s="38" t="n">
        <v>1</v>
      </c>
      <c r="AE209" s="38" t="n">
        <v>0.7</v>
      </c>
      <c r="AF209" s="40" t="n">
        <f aca="false">100*('Perfil e pressupostos'!$F$14*AB209+'Perfil e pressupostos'!$F$15*AC209+'Perfil e pressupostos'!$F$16*AD209+'Perfil e pressupostos'!$F$17*AE209)/'Perfil e pressupostos'!$F$18</f>
        <v>92.5</v>
      </c>
      <c r="AG209" s="41" t="n">
        <f aca="false">INDEX('Perfil e pressupostos'!$B$25:$B$28,MATCH(V209,'Perfil e pressupostos'!$A$25:$A$28,0))</f>
        <v>0.12</v>
      </c>
      <c r="AH209" s="41" t="n">
        <f aca="false">MIN('Perfil e pressupostos'!$F$29,AG209*('Perfil e pressupostos'!$F$25+'Perfil e pressupostos'!$F$26*AF209/100)*IF(AD209&lt;='Perfil e pressupostos'!$F$28,'Perfil e pressupostos'!$F$27,1))</f>
        <v>0.1812</v>
      </c>
      <c r="AI209" s="35" t="str">
        <f aca="false">IF(AQ209=0,"—",IF(AH209&gt;='Perfil e pressupostos'!$F$30,"Boa",IF(AH209&gt;='Perfil e pressupostos'!$F$31,"Média","Baixa")))</f>
        <v>—</v>
      </c>
      <c r="AJ209" s="7" t="s">
        <v>961</v>
      </c>
      <c r="AK209" s="7" t="s">
        <v>1058</v>
      </c>
      <c r="AL209" s="35" t="str">
        <f aca="false">IF(AK209="Prazo expirado","Prazo passado",IF(LEFT(AK209,11)="Monitorizar","Monitorizar",IF(Y209&gt;=3.5,"Prioridade",IF(Y209&gt;=3,"Candidatar (reach)","Reserva"))))</f>
        <v>Monitorizar</v>
      </c>
      <c r="AM209" s="7" t="s">
        <v>1200</v>
      </c>
      <c r="AN209" s="42" t="s">
        <v>1201</v>
      </c>
      <c r="AO209" s="7" t="s">
        <v>295</v>
      </c>
      <c r="AP209" s="7" t="s">
        <v>218</v>
      </c>
      <c r="AQ209" s="7" t="n">
        <f aca="false">IF(OR(AK209="Prazo expirado",LEFT(AK209,11)="Monitorizar"),0,1)</f>
        <v>0</v>
      </c>
      <c r="AR209" s="41" t="n">
        <f aca="false">IF(AQ209=0,0,AH209)</f>
        <v>0</v>
      </c>
      <c r="AS209" s="41" t="n">
        <f aca="false">AR209*W209/5</f>
        <v>0</v>
      </c>
      <c r="AT209" s="43" t="n">
        <f aca="false">AS209+W209/1000000+(1000-ROW())/1000000000</f>
        <v>3.291E-006</v>
      </c>
      <c r="AU209" s="35" t="n">
        <f aca="false">RANK(AT209,$AT$4:$AT$227)</f>
        <v>217</v>
      </c>
      <c r="AV209" s="40" t="str">
        <f aca="false">IF(AQ209=0,"",AF209)</f>
        <v/>
      </c>
      <c r="AW209" s="41" t="str">
        <f aca="false">IF(AQ209=0,"",AH209)</f>
        <v/>
      </c>
    </row>
    <row r="210" customFormat="false" ht="22.5" hidden="false" customHeight="true" outlineLevel="0" collapsed="false">
      <c r="A210" s="35" t="n">
        <v>207</v>
      </c>
      <c r="B210" s="7" t="s">
        <v>1202</v>
      </c>
      <c r="C210" s="7" t="s">
        <v>1203</v>
      </c>
      <c r="D210" s="7" t="s">
        <v>1198</v>
      </c>
      <c r="E210" s="7" t="s">
        <v>325</v>
      </c>
      <c r="F210" s="35" t="s">
        <v>89</v>
      </c>
      <c r="G210" s="7" t="s">
        <v>311</v>
      </c>
      <c r="H210" s="7" t="s">
        <v>172</v>
      </c>
      <c r="I210" s="7" t="s">
        <v>179</v>
      </c>
      <c r="J210" s="35" t="s">
        <v>207</v>
      </c>
      <c r="K210" s="7" t="s">
        <v>643</v>
      </c>
      <c r="L210" s="7" t="s">
        <v>1204</v>
      </c>
      <c r="M210" s="7" t="s">
        <v>576</v>
      </c>
      <c r="N210" s="7" t="s">
        <v>215</v>
      </c>
      <c r="O210" s="7" t="s">
        <v>179</v>
      </c>
      <c r="P210" s="35" t="str">
        <f aca="true">IF(ISNUMBER(O210),O210-TODAY(),"")</f>
        <v/>
      </c>
      <c r="Q210" s="7" t="s">
        <v>179</v>
      </c>
      <c r="R210" s="36" t="n">
        <v>1100</v>
      </c>
      <c r="S210" s="36" t="n">
        <v>1400</v>
      </c>
      <c r="T210" s="37" t="n">
        <f aca="false">IF(R210="","",AVERAGE(R210,S210))</f>
        <v>1250</v>
      </c>
      <c r="U210" s="7" t="s">
        <v>547</v>
      </c>
      <c r="V210" s="38" t="s">
        <v>517</v>
      </c>
      <c r="W210" s="38" t="n">
        <v>2.5</v>
      </c>
      <c r="X210" s="38" t="n">
        <v>4.2</v>
      </c>
      <c r="Y210" s="35" t="n">
        <f aca="false">ROUND(0.6*W210+0.4*X210,1)</f>
        <v>3.2</v>
      </c>
      <c r="Z210" s="38" t="s">
        <v>518</v>
      </c>
      <c r="AA210" s="38" t="n">
        <v>0.3</v>
      </c>
      <c r="AB210" s="39" t="n">
        <f aca="false">1-AA210*(1-INDEX('Perfil e pressupostos'!$C$14:$C$20,MATCH(Z210,'Perfil e pressupostos'!$A$14:$A$20,0)))</f>
        <v>1</v>
      </c>
      <c r="AC210" s="38" t="n">
        <v>0.9</v>
      </c>
      <c r="AD210" s="38" t="n">
        <v>1</v>
      </c>
      <c r="AE210" s="38" t="n">
        <v>0.7</v>
      </c>
      <c r="AF210" s="40" t="n">
        <f aca="false">100*('Perfil e pressupostos'!$F$14*AB210+'Perfil e pressupostos'!$F$15*AC210+'Perfil e pressupostos'!$F$16*AD210+'Perfil e pressupostos'!$F$17*AE210)/'Perfil e pressupostos'!$F$18</f>
        <v>92.5</v>
      </c>
      <c r="AG210" s="41" t="n">
        <f aca="false">INDEX('Perfil e pressupostos'!$B$25:$B$28,MATCH(V210,'Perfil e pressupostos'!$A$25:$A$28,0))</f>
        <v>0.12</v>
      </c>
      <c r="AH210" s="41" t="n">
        <f aca="false">MIN('Perfil e pressupostos'!$F$29,AG210*('Perfil e pressupostos'!$F$25+'Perfil e pressupostos'!$F$26*AF210/100)*IF(AD210&lt;='Perfil e pressupostos'!$F$28,'Perfil e pressupostos'!$F$27,1))</f>
        <v>0.1812</v>
      </c>
      <c r="AI210" s="35" t="str">
        <f aca="false">IF(AQ210=0,"—",IF(AH210&gt;='Perfil e pressupostos'!$F$30,"Boa",IF(AH210&gt;='Perfil e pressupostos'!$F$31,"Média","Baixa")))</f>
        <v>—</v>
      </c>
      <c r="AJ210" s="7" t="s">
        <v>961</v>
      </c>
      <c r="AK210" s="7" t="s">
        <v>1058</v>
      </c>
      <c r="AL210" s="35" t="str">
        <f aca="false">IF(AK210="Prazo expirado","Prazo passado",IF(LEFT(AK210,11)="Monitorizar","Monitorizar",IF(Y210&gt;=3.5,"Prioridade",IF(Y210&gt;=3,"Candidatar (reach)","Reserva"))))</f>
        <v>Monitorizar</v>
      </c>
      <c r="AM210" s="7" t="s">
        <v>1205</v>
      </c>
      <c r="AN210" s="42" t="s">
        <v>1206</v>
      </c>
      <c r="AO210" s="7" t="s">
        <v>187</v>
      </c>
      <c r="AP210" s="7" t="s">
        <v>218</v>
      </c>
      <c r="AQ210" s="7" t="n">
        <f aca="false">IF(OR(AK210="Prazo expirado",LEFT(AK210,11)="Monitorizar"),0,1)</f>
        <v>0</v>
      </c>
      <c r="AR210" s="41" t="n">
        <f aca="false">IF(AQ210=0,0,AH210)</f>
        <v>0</v>
      </c>
      <c r="AS210" s="41" t="n">
        <f aca="false">AR210*W210/5</f>
        <v>0</v>
      </c>
      <c r="AT210" s="43" t="n">
        <f aca="false">AS210+W210/1000000+(1000-ROW())/1000000000</f>
        <v>3.29E-006</v>
      </c>
      <c r="AU210" s="35" t="n">
        <f aca="false">RANK(AT210,$AT$4:$AT$227)</f>
        <v>218</v>
      </c>
      <c r="AV210" s="40" t="str">
        <f aca="false">IF(AQ210=0,"",AF210)</f>
        <v/>
      </c>
      <c r="AW210" s="41" t="str">
        <f aca="false">IF(AQ210=0,"",AH210)</f>
        <v/>
      </c>
    </row>
    <row r="211" customFormat="false" ht="22.5" hidden="false" customHeight="true" outlineLevel="0" collapsed="false">
      <c r="A211" s="35" t="n">
        <v>208</v>
      </c>
      <c r="B211" s="7" t="s">
        <v>1207</v>
      </c>
      <c r="C211" s="7" t="s">
        <v>1208</v>
      </c>
      <c r="D211" s="7" t="s">
        <v>1209</v>
      </c>
      <c r="E211" s="7" t="s">
        <v>325</v>
      </c>
      <c r="F211" s="35" t="s">
        <v>89</v>
      </c>
      <c r="G211" s="7" t="s">
        <v>311</v>
      </c>
      <c r="H211" s="7" t="s">
        <v>172</v>
      </c>
      <c r="I211" s="7" t="s">
        <v>179</v>
      </c>
      <c r="J211" s="35" t="s">
        <v>207</v>
      </c>
      <c r="K211" s="7" t="s">
        <v>643</v>
      </c>
      <c r="L211" s="7" t="s">
        <v>1210</v>
      </c>
      <c r="M211" s="7" t="s">
        <v>576</v>
      </c>
      <c r="N211" s="7" t="s">
        <v>215</v>
      </c>
      <c r="O211" s="7" t="s">
        <v>179</v>
      </c>
      <c r="P211" s="35" t="str">
        <f aca="true">IF(ISNUMBER(O211),O211-TODAY(),"")</f>
        <v/>
      </c>
      <c r="Q211" s="7" t="s">
        <v>179</v>
      </c>
      <c r="R211" s="36" t="n">
        <v>1100</v>
      </c>
      <c r="S211" s="36" t="n">
        <v>1400</v>
      </c>
      <c r="T211" s="37" t="n">
        <f aca="false">IF(R211="","",AVERAGE(R211,S211))</f>
        <v>1250</v>
      </c>
      <c r="U211" s="7" t="s">
        <v>547</v>
      </c>
      <c r="V211" s="38" t="s">
        <v>517</v>
      </c>
      <c r="W211" s="38" t="n">
        <v>2.5</v>
      </c>
      <c r="X211" s="38" t="n">
        <v>4.2</v>
      </c>
      <c r="Y211" s="35" t="n">
        <f aca="false">ROUND(0.6*W211+0.4*X211,1)</f>
        <v>3.2</v>
      </c>
      <c r="Z211" s="38" t="s">
        <v>518</v>
      </c>
      <c r="AA211" s="38" t="n">
        <v>0.3</v>
      </c>
      <c r="AB211" s="39" t="n">
        <f aca="false">1-AA211*(1-INDEX('Perfil e pressupostos'!$C$14:$C$20,MATCH(Z211,'Perfil e pressupostos'!$A$14:$A$20,0)))</f>
        <v>1</v>
      </c>
      <c r="AC211" s="38" t="n">
        <v>0.9</v>
      </c>
      <c r="AD211" s="38" t="n">
        <v>1</v>
      </c>
      <c r="AE211" s="38" t="n">
        <v>0.7</v>
      </c>
      <c r="AF211" s="40" t="n">
        <f aca="false">100*('Perfil e pressupostos'!$F$14*AB211+'Perfil e pressupostos'!$F$15*AC211+'Perfil e pressupostos'!$F$16*AD211+'Perfil e pressupostos'!$F$17*AE211)/'Perfil e pressupostos'!$F$18</f>
        <v>92.5</v>
      </c>
      <c r="AG211" s="41" t="n">
        <f aca="false">INDEX('Perfil e pressupostos'!$B$25:$B$28,MATCH(V211,'Perfil e pressupostos'!$A$25:$A$28,0))</f>
        <v>0.12</v>
      </c>
      <c r="AH211" s="41" t="n">
        <f aca="false">MIN('Perfil e pressupostos'!$F$29,AG211*('Perfil e pressupostos'!$F$25+'Perfil e pressupostos'!$F$26*AF211/100)*IF(AD211&lt;='Perfil e pressupostos'!$F$28,'Perfil e pressupostos'!$F$27,1))</f>
        <v>0.1812</v>
      </c>
      <c r="AI211" s="35" t="str">
        <f aca="false">IF(AQ211=0,"—",IF(AH211&gt;='Perfil e pressupostos'!$F$30,"Boa",IF(AH211&gt;='Perfil e pressupostos'!$F$31,"Média","Baixa")))</f>
        <v>—</v>
      </c>
      <c r="AJ211" s="7" t="s">
        <v>961</v>
      </c>
      <c r="AK211" s="7" t="s">
        <v>1058</v>
      </c>
      <c r="AL211" s="35" t="str">
        <f aca="false">IF(AK211="Prazo expirado","Prazo passado",IF(LEFT(AK211,11)="Monitorizar","Monitorizar",IF(Y211&gt;=3.5,"Prioridade",IF(Y211&gt;=3,"Candidatar (reach)","Reserva"))))</f>
        <v>Monitorizar</v>
      </c>
      <c r="AM211" s="7" t="s">
        <v>1211</v>
      </c>
      <c r="AN211" s="42" t="s">
        <v>1212</v>
      </c>
      <c r="AO211" s="7" t="s">
        <v>295</v>
      </c>
      <c r="AP211" s="7" t="s">
        <v>218</v>
      </c>
      <c r="AQ211" s="7" t="n">
        <f aca="false">IF(OR(AK211="Prazo expirado",LEFT(AK211,11)="Monitorizar"),0,1)</f>
        <v>0</v>
      </c>
      <c r="AR211" s="41" t="n">
        <f aca="false">IF(AQ211=0,0,AH211)</f>
        <v>0</v>
      </c>
      <c r="AS211" s="41" t="n">
        <f aca="false">AR211*W211/5</f>
        <v>0</v>
      </c>
      <c r="AT211" s="43" t="n">
        <f aca="false">AS211+W211/1000000+(1000-ROW())/1000000000</f>
        <v>3.289E-006</v>
      </c>
      <c r="AU211" s="35" t="n">
        <f aca="false">RANK(AT211,$AT$4:$AT$227)</f>
        <v>219</v>
      </c>
      <c r="AV211" s="40" t="str">
        <f aca="false">IF(AQ211=0,"",AF211)</f>
        <v/>
      </c>
      <c r="AW211" s="41" t="str">
        <f aca="false">IF(AQ211=0,"",AH211)</f>
        <v/>
      </c>
    </row>
    <row r="212" customFormat="false" ht="33.75" hidden="false" customHeight="true" outlineLevel="0" collapsed="false">
      <c r="A212" s="35" t="n">
        <v>209</v>
      </c>
      <c r="B212" s="7" t="s">
        <v>1213</v>
      </c>
      <c r="C212" s="7" t="s">
        <v>1214</v>
      </c>
      <c r="D212" s="7" t="s">
        <v>947</v>
      </c>
      <c r="E212" s="7" t="s">
        <v>509</v>
      </c>
      <c r="F212" s="35" t="s">
        <v>89</v>
      </c>
      <c r="G212" s="7" t="s">
        <v>311</v>
      </c>
      <c r="H212" s="7" t="s">
        <v>172</v>
      </c>
      <c r="I212" s="7" t="s">
        <v>179</v>
      </c>
      <c r="J212" s="35" t="s">
        <v>1215</v>
      </c>
      <c r="K212" s="7" t="s">
        <v>1174</v>
      </c>
      <c r="L212" s="7" t="s">
        <v>1216</v>
      </c>
      <c r="M212" s="7" t="s">
        <v>576</v>
      </c>
      <c r="N212" s="7" t="s">
        <v>215</v>
      </c>
      <c r="O212" s="7" t="s">
        <v>179</v>
      </c>
      <c r="P212" s="35" t="str">
        <f aca="true">IF(ISNUMBER(O212),O212-TODAY(),"")</f>
        <v/>
      </c>
      <c r="Q212" s="7" t="s">
        <v>179</v>
      </c>
      <c r="R212" s="36" t="n">
        <v>1100</v>
      </c>
      <c r="S212" s="36" t="n">
        <v>1500</v>
      </c>
      <c r="T212" s="37" t="n">
        <f aca="false">IF(R212="","",AVERAGE(R212,S212))</f>
        <v>1300</v>
      </c>
      <c r="U212" s="7" t="s">
        <v>547</v>
      </c>
      <c r="V212" s="38" t="s">
        <v>318</v>
      </c>
      <c r="W212" s="38" t="n">
        <v>3</v>
      </c>
      <c r="X212" s="38" t="n">
        <v>4.2</v>
      </c>
      <c r="Y212" s="35" t="n">
        <f aca="false">ROUND(0.6*W212+0.4*X212,1)</f>
        <v>3.5</v>
      </c>
      <c r="Z212" s="38" t="s">
        <v>518</v>
      </c>
      <c r="AA212" s="38" t="n">
        <v>0.3</v>
      </c>
      <c r="AB212" s="39" t="n">
        <f aca="false">1-AA212*(1-INDEX('Perfil e pressupostos'!$C$14:$C$20,MATCH(Z212,'Perfil e pressupostos'!$A$14:$A$20,0)))</f>
        <v>1</v>
      </c>
      <c r="AC212" s="38" t="n">
        <v>0.9</v>
      </c>
      <c r="AD212" s="38" t="n">
        <v>1</v>
      </c>
      <c r="AE212" s="38" t="n">
        <v>0.7</v>
      </c>
      <c r="AF212" s="40" t="n">
        <f aca="false">100*('Perfil e pressupostos'!$F$14*AB212+'Perfil e pressupostos'!$F$15*AC212+'Perfil e pressupostos'!$F$16*AD212+'Perfil e pressupostos'!$F$17*AE212)/'Perfil e pressupostos'!$F$18</f>
        <v>92.5</v>
      </c>
      <c r="AG212" s="41" t="n">
        <f aca="false">INDEX('Perfil e pressupostos'!$B$25:$B$28,MATCH(V212,'Perfil e pressupostos'!$A$25:$A$28,0))</f>
        <v>0.08</v>
      </c>
      <c r="AH212" s="41" t="n">
        <f aca="false">MIN('Perfil e pressupostos'!$F$29,AG212*('Perfil e pressupostos'!$F$25+'Perfil e pressupostos'!$F$26*AF212/100)*IF(AD212&lt;='Perfil e pressupostos'!$F$28,'Perfil e pressupostos'!$F$27,1))</f>
        <v>0.1208</v>
      </c>
      <c r="AI212" s="35" t="str">
        <f aca="false">IF(AQ212=0,"—",IF(AH212&gt;='Perfil e pressupostos'!$F$30,"Boa",IF(AH212&gt;='Perfil e pressupostos'!$F$31,"Média","Baixa")))</f>
        <v>—</v>
      </c>
      <c r="AJ212" s="7" t="s">
        <v>961</v>
      </c>
      <c r="AK212" s="7" t="s">
        <v>1058</v>
      </c>
      <c r="AL212" s="35" t="str">
        <f aca="false">IF(AK212="Prazo expirado","Prazo passado",IF(LEFT(AK212,11)="Monitorizar","Monitorizar",IF(Y212&gt;=3.5,"Prioridade",IF(Y212&gt;=3,"Candidatar (reach)","Reserva"))))</f>
        <v>Monitorizar</v>
      </c>
      <c r="AM212" s="7" t="s">
        <v>1217</v>
      </c>
      <c r="AN212" s="42" t="s">
        <v>1218</v>
      </c>
      <c r="AO212" s="7" t="s">
        <v>295</v>
      </c>
      <c r="AP212" s="7" t="s">
        <v>218</v>
      </c>
      <c r="AQ212" s="7" t="n">
        <f aca="false">IF(OR(AK212="Prazo expirado",LEFT(AK212,11)="Monitorizar"),0,1)</f>
        <v>0</v>
      </c>
      <c r="AR212" s="41" t="n">
        <f aca="false">IF(AQ212=0,0,AH212)</f>
        <v>0</v>
      </c>
      <c r="AS212" s="41" t="n">
        <f aca="false">AR212*W212/5</f>
        <v>0</v>
      </c>
      <c r="AT212" s="43" t="n">
        <f aca="false">AS212+W212/1000000+(1000-ROW())/1000000000</f>
        <v>3.788E-006</v>
      </c>
      <c r="AU212" s="35" t="n">
        <f aca="false">RANK(AT212,$AT$4:$AT$227)</f>
        <v>214</v>
      </c>
      <c r="AV212" s="40" t="str">
        <f aca="false">IF(AQ212=0,"",AF212)</f>
        <v/>
      </c>
      <c r="AW212" s="41" t="str">
        <f aca="false">IF(AQ212=0,"",AH212)</f>
        <v/>
      </c>
    </row>
    <row r="213" customFormat="false" ht="33.75" hidden="false" customHeight="true" outlineLevel="0" collapsed="false">
      <c r="A213" s="35" t="n">
        <v>210</v>
      </c>
      <c r="B213" s="7" t="s">
        <v>1054</v>
      </c>
      <c r="C213" s="7" t="s">
        <v>1219</v>
      </c>
      <c r="D213" s="7" t="s">
        <v>947</v>
      </c>
      <c r="E213" s="7" t="s">
        <v>509</v>
      </c>
      <c r="F213" s="35" t="s">
        <v>89</v>
      </c>
      <c r="G213" s="7" t="s">
        <v>311</v>
      </c>
      <c r="H213" s="7" t="s">
        <v>172</v>
      </c>
      <c r="I213" s="7" t="s">
        <v>179</v>
      </c>
      <c r="J213" s="35" t="s">
        <v>965</v>
      </c>
      <c r="K213" s="7" t="s">
        <v>1174</v>
      </c>
      <c r="L213" s="7" t="s">
        <v>1057</v>
      </c>
      <c r="M213" s="7" t="s">
        <v>576</v>
      </c>
      <c r="N213" s="7" t="s">
        <v>215</v>
      </c>
      <c r="O213" s="7" t="s">
        <v>179</v>
      </c>
      <c r="P213" s="35" t="str">
        <f aca="true">IF(ISNUMBER(O213),O213-TODAY(),"")</f>
        <v/>
      </c>
      <c r="Q213" s="7" t="s">
        <v>179</v>
      </c>
      <c r="R213" s="36" t="n">
        <v>1200</v>
      </c>
      <c r="S213" s="36" t="n">
        <v>1600</v>
      </c>
      <c r="T213" s="37" t="n">
        <f aca="false">IF(R213="","",AVERAGE(R213,S213))</f>
        <v>1400</v>
      </c>
      <c r="U213" s="7" t="s">
        <v>547</v>
      </c>
      <c r="V213" s="38" t="s">
        <v>318</v>
      </c>
      <c r="W213" s="38" t="n">
        <v>3.5</v>
      </c>
      <c r="X213" s="38" t="n">
        <v>4.2</v>
      </c>
      <c r="Y213" s="35" t="n">
        <f aca="false">ROUND(0.6*W213+0.4*X213,1)</f>
        <v>3.8</v>
      </c>
      <c r="Z213" s="38" t="s">
        <v>518</v>
      </c>
      <c r="AA213" s="38" t="n">
        <v>0.3</v>
      </c>
      <c r="AB213" s="39" t="n">
        <f aca="false">1-AA213*(1-INDEX('Perfil e pressupostos'!$C$14:$C$20,MATCH(Z213,'Perfil e pressupostos'!$A$14:$A$20,0)))</f>
        <v>1</v>
      </c>
      <c r="AC213" s="38" t="n">
        <v>0.9</v>
      </c>
      <c r="AD213" s="38" t="n">
        <v>1</v>
      </c>
      <c r="AE213" s="38" t="n">
        <v>0.7</v>
      </c>
      <c r="AF213" s="40" t="n">
        <f aca="false">100*('Perfil e pressupostos'!$F$14*AB213+'Perfil e pressupostos'!$F$15*AC213+'Perfil e pressupostos'!$F$16*AD213+'Perfil e pressupostos'!$F$17*AE213)/'Perfil e pressupostos'!$F$18</f>
        <v>92.5</v>
      </c>
      <c r="AG213" s="41" t="n">
        <f aca="false">INDEX('Perfil e pressupostos'!$B$25:$B$28,MATCH(V213,'Perfil e pressupostos'!$A$25:$A$28,0))</f>
        <v>0.08</v>
      </c>
      <c r="AH213" s="41" t="n">
        <f aca="false">MIN('Perfil e pressupostos'!$F$29,AG213*('Perfil e pressupostos'!$F$25+'Perfil e pressupostos'!$F$26*AF213/100)*IF(AD213&lt;='Perfil e pressupostos'!$F$28,'Perfil e pressupostos'!$F$27,1))</f>
        <v>0.1208</v>
      </c>
      <c r="AI213" s="35" t="str">
        <f aca="false">IF(AQ213=0,"—",IF(AH213&gt;='Perfil e pressupostos'!$F$30,"Boa",IF(AH213&gt;='Perfil e pressupostos'!$F$31,"Média","Baixa")))</f>
        <v>—</v>
      </c>
      <c r="AJ213" s="7" t="s">
        <v>961</v>
      </c>
      <c r="AK213" s="7" t="s">
        <v>1058</v>
      </c>
      <c r="AL213" s="35" t="str">
        <f aca="false">IF(AK213="Prazo expirado","Prazo passado",IF(LEFT(AK213,11)="Monitorizar","Monitorizar",IF(Y213&gt;=3.5,"Prioridade",IF(Y213&gt;=3,"Candidatar (reach)","Reserva"))))</f>
        <v>Monitorizar</v>
      </c>
      <c r="AM213" s="7" t="s">
        <v>1220</v>
      </c>
      <c r="AN213" s="42" t="s">
        <v>1060</v>
      </c>
      <c r="AO213" s="7" t="s">
        <v>295</v>
      </c>
      <c r="AP213" s="7" t="s">
        <v>218</v>
      </c>
      <c r="AQ213" s="7" t="n">
        <f aca="false">IF(OR(AK213="Prazo expirado",LEFT(AK213,11)="Monitorizar"),0,1)</f>
        <v>0</v>
      </c>
      <c r="AR213" s="41" t="n">
        <f aca="false">IF(AQ213=0,0,AH213)</f>
        <v>0</v>
      </c>
      <c r="AS213" s="41" t="n">
        <f aca="false">AR213*W213/5</f>
        <v>0</v>
      </c>
      <c r="AT213" s="43" t="n">
        <f aca="false">AS213+W213/1000000+(1000-ROW())/1000000000</f>
        <v>4.287E-006</v>
      </c>
      <c r="AU213" s="35" t="n">
        <f aca="false">RANK(AT213,$AT$4:$AT$227)</f>
        <v>207</v>
      </c>
      <c r="AV213" s="40" t="str">
        <f aca="false">IF(AQ213=0,"",AF213)</f>
        <v/>
      </c>
      <c r="AW213" s="41" t="str">
        <f aca="false">IF(AQ213=0,"",AH213)</f>
        <v/>
      </c>
    </row>
    <row r="214" customFormat="false" ht="33.75" hidden="false" customHeight="true" outlineLevel="0" collapsed="false">
      <c r="A214" s="35" t="n">
        <v>211</v>
      </c>
      <c r="B214" s="7" t="s">
        <v>1221</v>
      </c>
      <c r="C214" s="7" t="s">
        <v>1222</v>
      </c>
      <c r="D214" s="7" t="s">
        <v>947</v>
      </c>
      <c r="E214" s="7" t="s">
        <v>509</v>
      </c>
      <c r="F214" s="35" t="s">
        <v>89</v>
      </c>
      <c r="G214" s="7" t="s">
        <v>311</v>
      </c>
      <c r="H214" s="7" t="s">
        <v>172</v>
      </c>
      <c r="I214" s="7" t="s">
        <v>179</v>
      </c>
      <c r="J214" s="35" t="s">
        <v>965</v>
      </c>
      <c r="K214" s="7" t="s">
        <v>1174</v>
      </c>
      <c r="L214" s="7" t="s">
        <v>1223</v>
      </c>
      <c r="M214" s="7" t="s">
        <v>576</v>
      </c>
      <c r="N214" s="7" t="s">
        <v>215</v>
      </c>
      <c r="O214" s="7" t="s">
        <v>179</v>
      </c>
      <c r="P214" s="35" t="str">
        <f aca="true">IF(ISNUMBER(O214),O214-TODAY(),"")</f>
        <v/>
      </c>
      <c r="Q214" s="7" t="s">
        <v>179</v>
      </c>
      <c r="R214" s="36" t="n">
        <v>1000</v>
      </c>
      <c r="S214" s="36" t="n">
        <v>1300</v>
      </c>
      <c r="T214" s="37" t="n">
        <f aca="false">IF(R214="","",AVERAGE(R214,S214))</f>
        <v>1150</v>
      </c>
      <c r="U214" s="7" t="s">
        <v>547</v>
      </c>
      <c r="V214" s="38" t="s">
        <v>517</v>
      </c>
      <c r="W214" s="38" t="n">
        <v>3</v>
      </c>
      <c r="X214" s="38" t="n">
        <v>4.2</v>
      </c>
      <c r="Y214" s="35" t="n">
        <f aca="false">ROUND(0.6*W214+0.4*X214,1)</f>
        <v>3.5</v>
      </c>
      <c r="Z214" s="38" t="s">
        <v>518</v>
      </c>
      <c r="AA214" s="38" t="n">
        <v>0.3</v>
      </c>
      <c r="AB214" s="39" t="n">
        <f aca="false">1-AA214*(1-INDEX('Perfil e pressupostos'!$C$14:$C$20,MATCH(Z214,'Perfil e pressupostos'!$A$14:$A$20,0)))</f>
        <v>1</v>
      </c>
      <c r="AC214" s="38" t="n">
        <v>0.9</v>
      </c>
      <c r="AD214" s="38" t="n">
        <v>1</v>
      </c>
      <c r="AE214" s="38" t="n">
        <v>0.7</v>
      </c>
      <c r="AF214" s="40" t="n">
        <f aca="false">100*('Perfil e pressupostos'!$F$14*AB214+'Perfil e pressupostos'!$F$15*AC214+'Perfil e pressupostos'!$F$16*AD214+'Perfil e pressupostos'!$F$17*AE214)/'Perfil e pressupostos'!$F$18</f>
        <v>92.5</v>
      </c>
      <c r="AG214" s="41" t="n">
        <f aca="false">INDEX('Perfil e pressupostos'!$B$25:$B$28,MATCH(V214,'Perfil e pressupostos'!$A$25:$A$28,0))</f>
        <v>0.12</v>
      </c>
      <c r="AH214" s="41" t="n">
        <f aca="false">MIN('Perfil e pressupostos'!$F$29,AG214*('Perfil e pressupostos'!$F$25+'Perfil e pressupostos'!$F$26*AF214/100)*IF(AD214&lt;='Perfil e pressupostos'!$F$28,'Perfil e pressupostos'!$F$27,1))</f>
        <v>0.1812</v>
      </c>
      <c r="AI214" s="35" t="str">
        <f aca="false">IF(AQ214=0,"—",IF(AH214&gt;='Perfil e pressupostos'!$F$30,"Boa",IF(AH214&gt;='Perfil e pressupostos'!$F$31,"Média","Baixa")))</f>
        <v>—</v>
      </c>
      <c r="AJ214" s="7" t="s">
        <v>961</v>
      </c>
      <c r="AK214" s="7" t="s">
        <v>1058</v>
      </c>
      <c r="AL214" s="35" t="str">
        <f aca="false">IF(AK214="Prazo expirado","Prazo passado",IF(LEFT(AK214,11)="Monitorizar","Monitorizar",IF(Y214&gt;=3.5,"Prioridade",IF(Y214&gt;=3,"Candidatar (reach)","Reserva"))))</f>
        <v>Monitorizar</v>
      </c>
      <c r="AM214" s="7" t="s">
        <v>1224</v>
      </c>
      <c r="AN214" s="42" t="s">
        <v>1225</v>
      </c>
      <c r="AO214" s="7" t="s">
        <v>187</v>
      </c>
      <c r="AP214" s="7" t="s">
        <v>218</v>
      </c>
      <c r="AQ214" s="7" t="n">
        <f aca="false">IF(OR(AK214="Prazo expirado",LEFT(AK214,11)="Monitorizar"),0,1)</f>
        <v>0</v>
      </c>
      <c r="AR214" s="41" t="n">
        <f aca="false">IF(AQ214=0,0,AH214)</f>
        <v>0</v>
      </c>
      <c r="AS214" s="41" t="n">
        <f aca="false">AR214*W214/5</f>
        <v>0</v>
      </c>
      <c r="AT214" s="43" t="n">
        <f aca="false">AS214+W214/1000000+(1000-ROW())/1000000000</f>
        <v>3.786E-006</v>
      </c>
      <c r="AU214" s="35" t="n">
        <f aca="false">RANK(AT214,$AT$4:$AT$227)</f>
        <v>215</v>
      </c>
      <c r="AV214" s="40" t="str">
        <f aca="false">IF(AQ214=0,"",AF214)</f>
        <v/>
      </c>
      <c r="AW214" s="41" t="str">
        <f aca="false">IF(AQ214=0,"",AH214)</f>
        <v/>
      </c>
    </row>
    <row r="215" customFormat="false" ht="33.75" hidden="false" customHeight="true" outlineLevel="0" collapsed="false">
      <c r="A215" s="35" t="n">
        <v>212</v>
      </c>
      <c r="B215" s="7" t="s">
        <v>1226</v>
      </c>
      <c r="C215" s="7" t="s">
        <v>1227</v>
      </c>
      <c r="D215" s="7" t="s">
        <v>947</v>
      </c>
      <c r="E215" s="7" t="s">
        <v>942</v>
      </c>
      <c r="F215" s="35" t="s">
        <v>89</v>
      </c>
      <c r="G215" s="7" t="s">
        <v>311</v>
      </c>
      <c r="H215" s="7" t="s">
        <v>172</v>
      </c>
      <c r="I215" s="7" t="s">
        <v>179</v>
      </c>
      <c r="J215" s="35" t="s">
        <v>1228</v>
      </c>
      <c r="K215" s="7" t="s">
        <v>1174</v>
      </c>
      <c r="L215" s="7" t="s">
        <v>1229</v>
      </c>
      <c r="M215" s="7" t="s">
        <v>576</v>
      </c>
      <c r="N215" s="7" t="s">
        <v>215</v>
      </c>
      <c r="O215" s="7" t="s">
        <v>179</v>
      </c>
      <c r="P215" s="35" t="str">
        <f aca="true">IF(ISNUMBER(O215),O215-TODAY(),"")</f>
        <v/>
      </c>
      <c r="Q215" s="7" t="s">
        <v>179</v>
      </c>
      <c r="R215" s="36" t="n">
        <v>1400</v>
      </c>
      <c r="S215" s="36" t="n">
        <v>1800</v>
      </c>
      <c r="T215" s="37" t="n">
        <f aca="false">IF(R215="","",AVERAGE(R215,S215))</f>
        <v>1600</v>
      </c>
      <c r="U215" s="7" t="s">
        <v>547</v>
      </c>
      <c r="V215" s="38" t="s">
        <v>199</v>
      </c>
      <c r="W215" s="38" t="n">
        <v>2.5</v>
      </c>
      <c r="X215" s="38" t="n">
        <v>3.1</v>
      </c>
      <c r="Y215" s="35" t="n">
        <f aca="false">ROUND(0.6*W215+0.4*X215,1)</f>
        <v>2.7</v>
      </c>
      <c r="Z215" s="38" t="s">
        <v>182</v>
      </c>
      <c r="AA215" s="38" t="n">
        <v>1</v>
      </c>
      <c r="AB215" s="39" t="n">
        <f aca="false">1-AA215*(1-INDEX('Perfil e pressupostos'!$C$14:$C$20,MATCH(Z215,'Perfil e pressupostos'!$A$14:$A$20,0)))</f>
        <v>0.95</v>
      </c>
      <c r="AC215" s="38" t="n">
        <v>0.9</v>
      </c>
      <c r="AD215" s="38" t="n">
        <v>0.8</v>
      </c>
      <c r="AE215" s="38" t="n">
        <v>0.75</v>
      </c>
      <c r="AF215" s="40" t="n">
        <f aca="false">100*('Perfil e pressupostos'!$F$14*AB215+'Perfil e pressupostos'!$F$15*AC215+'Perfil e pressupostos'!$F$16*AD215+'Perfil e pressupostos'!$F$17*AE215)/'Perfil e pressupostos'!$F$18</f>
        <v>86.75</v>
      </c>
      <c r="AG215" s="41" t="n">
        <f aca="false">INDEX('Perfil e pressupostos'!$B$25:$B$28,MATCH(V215,'Perfil e pressupostos'!$A$25:$A$28,0))</f>
        <v>0.03</v>
      </c>
      <c r="AH215" s="41" t="n">
        <f aca="false">MIN('Perfil e pressupostos'!$F$29,AG215*('Perfil e pressupostos'!$F$25+'Perfil e pressupostos'!$F$26*AF215/100)*IF(AD215&lt;='Perfil e pressupostos'!$F$28,'Perfil e pressupostos'!$F$27,1))</f>
        <v>0.04323</v>
      </c>
      <c r="AI215" s="35" t="str">
        <f aca="false">IF(AQ215=0,"—",IF(AH215&gt;='Perfil e pressupostos'!$F$30,"Boa",IF(AH215&gt;='Perfil e pressupostos'!$F$31,"Média","Baixa")))</f>
        <v>—</v>
      </c>
      <c r="AJ215" s="7" t="s">
        <v>1230</v>
      </c>
      <c r="AK215" s="7" t="s">
        <v>1058</v>
      </c>
      <c r="AL215" s="35" t="str">
        <f aca="false">IF(AK215="Prazo expirado","Prazo passado",IF(LEFT(AK215,11)="Monitorizar","Monitorizar",IF(Y215&gt;=3.5,"Prioridade",IF(Y215&gt;=3,"Candidatar (reach)","Reserva"))))</f>
        <v>Monitorizar</v>
      </c>
      <c r="AM215" s="7" t="s">
        <v>1231</v>
      </c>
      <c r="AN215" s="42" t="s">
        <v>1232</v>
      </c>
      <c r="AO215" s="7" t="s">
        <v>187</v>
      </c>
      <c r="AP215" s="7" t="s">
        <v>218</v>
      </c>
      <c r="AQ215" s="7" t="n">
        <f aca="false">IF(OR(AK215="Prazo expirado",LEFT(AK215,11)="Monitorizar"),0,1)</f>
        <v>0</v>
      </c>
      <c r="AR215" s="41" t="n">
        <f aca="false">IF(AQ215=0,0,AH215)</f>
        <v>0</v>
      </c>
      <c r="AS215" s="41" t="n">
        <f aca="false">AR215*W215/5</f>
        <v>0</v>
      </c>
      <c r="AT215" s="43" t="n">
        <f aca="false">AS215+W215/1000000+(1000-ROW())/1000000000</f>
        <v>3.285E-006</v>
      </c>
      <c r="AU215" s="35" t="n">
        <f aca="false">RANK(AT215,$AT$4:$AT$227)</f>
        <v>220</v>
      </c>
      <c r="AV215" s="40" t="str">
        <f aca="false">IF(AQ215=0,"",AF215)</f>
        <v/>
      </c>
      <c r="AW215" s="41" t="str">
        <f aca="false">IF(AQ215=0,"",AH215)</f>
        <v/>
      </c>
    </row>
    <row r="216" customFormat="false" ht="33.75" hidden="false" customHeight="true" outlineLevel="0" collapsed="false">
      <c r="A216" s="35" t="n">
        <v>213</v>
      </c>
      <c r="B216" s="7" t="s">
        <v>1233</v>
      </c>
      <c r="C216" s="7" t="s">
        <v>1234</v>
      </c>
      <c r="D216" s="7" t="s">
        <v>947</v>
      </c>
      <c r="E216" s="7" t="s">
        <v>942</v>
      </c>
      <c r="F216" s="35" t="s">
        <v>89</v>
      </c>
      <c r="G216" s="7" t="s">
        <v>311</v>
      </c>
      <c r="H216" s="7" t="s">
        <v>172</v>
      </c>
      <c r="I216" s="7" t="s">
        <v>179</v>
      </c>
      <c r="J216" s="35" t="s">
        <v>965</v>
      </c>
      <c r="K216" s="7" t="s">
        <v>1174</v>
      </c>
      <c r="L216" s="7" t="s">
        <v>1235</v>
      </c>
      <c r="M216" s="7" t="s">
        <v>576</v>
      </c>
      <c r="N216" s="7" t="s">
        <v>215</v>
      </c>
      <c r="O216" s="7" t="s">
        <v>179</v>
      </c>
      <c r="P216" s="35" t="str">
        <f aca="true">IF(ISNUMBER(O216),O216-TODAY(),"")</f>
        <v/>
      </c>
      <c r="Q216" s="7" t="s">
        <v>179</v>
      </c>
      <c r="R216" s="36" t="n">
        <v>1400</v>
      </c>
      <c r="S216" s="36" t="n">
        <v>1800</v>
      </c>
      <c r="T216" s="37" t="n">
        <f aca="false">IF(R216="","",AVERAGE(R216,S216))</f>
        <v>1600</v>
      </c>
      <c r="U216" s="7" t="s">
        <v>547</v>
      </c>
      <c r="V216" s="38" t="s">
        <v>199</v>
      </c>
      <c r="W216" s="38" t="n">
        <v>2.5</v>
      </c>
      <c r="X216" s="38" t="n">
        <v>2.9</v>
      </c>
      <c r="Y216" s="35" t="n">
        <f aca="false">ROUND(0.6*W216+0.4*X216,1)</f>
        <v>2.7</v>
      </c>
      <c r="Z216" s="38" t="s">
        <v>182</v>
      </c>
      <c r="AA216" s="38" t="n">
        <v>1</v>
      </c>
      <c r="AB216" s="39" t="n">
        <f aca="false">1-AA216*(1-INDEX('Perfil e pressupostos'!$C$14:$C$20,MATCH(Z216,'Perfil e pressupostos'!$A$14:$A$20,0)))</f>
        <v>0.95</v>
      </c>
      <c r="AC216" s="38" t="n">
        <v>0.9</v>
      </c>
      <c r="AD216" s="38" t="n">
        <v>0.7</v>
      </c>
      <c r="AE216" s="38" t="n">
        <v>0.7</v>
      </c>
      <c r="AF216" s="40" t="n">
        <f aca="false">100*('Perfil e pressupostos'!$F$14*AB216+'Perfil e pressupostos'!$F$15*AC216+'Perfil e pressupostos'!$F$16*AD216+'Perfil e pressupostos'!$F$17*AE216)/'Perfil e pressupostos'!$F$18</f>
        <v>83.5</v>
      </c>
      <c r="AG216" s="41" t="n">
        <f aca="false">INDEX('Perfil e pressupostos'!$B$25:$B$28,MATCH(V216,'Perfil e pressupostos'!$A$25:$A$28,0))</f>
        <v>0.03</v>
      </c>
      <c r="AH216" s="41" t="n">
        <f aca="false">MIN('Perfil e pressupostos'!$F$29,AG216*('Perfil e pressupostos'!$F$25+'Perfil e pressupostos'!$F$26*AF216/100)*IF(AD216&lt;='Perfil e pressupostos'!$F$28,'Perfil e pressupostos'!$F$27,1))</f>
        <v>0.04206</v>
      </c>
      <c r="AI216" s="35" t="str">
        <f aca="false">IF(AQ216=0,"—",IF(AH216&gt;='Perfil e pressupostos'!$F$30,"Boa",IF(AH216&gt;='Perfil e pressupostos'!$F$31,"Média","Baixa")))</f>
        <v>—</v>
      </c>
      <c r="AJ216" s="7" t="s">
        <v>1230</v>
      </c>
      <c r="AK216" s="7" t="s">
        <v>1058</v>
      </c>
      <c r="AL216" s="35" t="str">
        <f aca="false">IF(AK216="Prazo expirado","Prazo passado",IF(LEFT(AK216,11)="Monitorizar","Monitorizar",IF(Y216&gt;=3.5,"Prioridade",IF(Y216&gt;=3,"Candidatar (reach)","Reserva"))))</f>
        <v>Monitorizar</v>
      </c>
      <c r="AM216" s="7" t="s">
        <v>1236</v>
      </c>
      <c r="AN216" s="42" t="s">
        <v>1237</v>
      </c>
      <c r="AO216" s="7" t="s">
        <v>295</v>
      </c>
      <c r="AP216" s="7" t="s">
        <v>218</v>
      </c>
      <c r="AQ216" s="7" t="n">
        <f aca="false">IF(OR(AK216="Prazo expirado",LEFT(AK216,11)="Monitorizar"),0,1)</f>
        <v>0</v>
      </c>
      <c r="AR216" s="41" t="n">
        <f aca="false">IF(AQ216=0,0,AH216)</f>
        <v>0</v>
      </c>
      <c r="AS216" s="41" t="n">
        <f aca="false">AR216*W216/5</f>
        <v>0</v>
      </c>
      <c r="AT216" s="43" t="n">
        <f aca="false">AS216+W216/1000000+(1000-ROW())/1000000000</f>
        <v>3.284E-006</v>
      </c>
      <c r="AU216" s="35" t="n">
        <f aca="false">RANK(AT216,$AT$4:$AT$227)</f>
        <v>221</v>
      </c>
      <c r="AV216" s="40" t="str">
        <f aca="false">IF(AQ216=0,"",AF216)</f>
        <v/>
      </c>
      <c r="AW216" s="41" t="str">
        <f aca="false">IF(AQ216=0,"",AH216)</f>
        <v/>
      </c>
    </row>
    <row r="217" customFormat="false" ht="33.75" hidden="false" customHeight="true" outlineLevel="0" collapsed="false">
      <c r="A217" s="35" t="n">
        <v>214</v>
      </c>
      <c r="B217" s="7" t="s">
        <v>1238</v>
      </c>
      <c r="C217" s="7" t="s">
        <v>1239</v>
      </c>
      <c r="D217" s="7" t="s">
        <v>947</v>
      </c>
      <c r="E217" s="7" t="s">
        <v>942</v>
      </c>
      <c r="F217" s="35" t="s">
        <v>89</v>
      </c>
      <c r="G217" s="7" t="s">
        <v>311</v>
      </c>
      <c r="H217" s="7" t="s">
        <v>172</v>
      </c>
      <c r="I217" s="7" t="s">
        <v>1240</v>
      </c>
      <c r="J217" s="35" t="s">
        <v>207</v>
      </c>
      <c r="K217" s="7" t="s">
        <v>1174</v>
      </c>
      <c r="L217" s="7" t="s">
        <v>1241</v>
      </c>
      <c r="M217" s="7" t="s">
        <v>576</v>
      </c>
      <c r="N217" s="7" t="s">
        <v>215</v>
      </c>
      <c r="O217" s="7" t="s">
        <v>179</v>
      </c>
      <c r="P217" s="35" t="str">
        <f aca="true">IF(ISNUMBER(O217),O217-TODAY(),"")</f>
        <v/>
      </c>
      <c r="Q217" s="7" t="s">
        <v>179</v>
      </c>
      <c r="R217" s="36" t="n">
        <v>1200</v>
      </c>
      <c r="S217" s="36" t="n">
        <v>1600</v>
      </c>
      <c r="T217" s="37" t="n">
        <f aca="false">IF(R217="","",AVERAGE(R217,S217))</f>
        <v>1400</v>
      </c>
      <c r="U217" s="7" t="s">
        <v>547</v>
      </c>
      <c r="V217" s="38" t="s">
        <v>318</v>
      </c>
      <c r="W217" s="38" t="n">
        <v>2</v>
      </c>
      <c r="X217" s="38" t="n">
        <v>3.9</v>
      </c>
      <c r="Y217" s="35" t="n">
        <f aca="false">ROUND(0.6*W217+0.4*X217,1)</f>
        <v>2.8</v>
      </c>
      <c r="Z217" s="38" t="s">
        <v>518</v>
      </c>
      <c r="AA217" s="38" t="n">
        <v>0.3</v>
      </c>
      <c r="AB217" s="39" t="n">
        <f aca="false">1-AA217*(1-INDEX('Perfil e pressupostos'!$C$14:$C$20,MATCH(Z217,'Perfil e pressupostos'!$A$14:$A$20,0)))</f>
        <v>1</v>
      </c>
      <c r="AC217" s="38" t="n">
        <v>0.9</v>
      </c>
      <c r="AD217" s="38" t="n">
        <v>0.9</v>
      </c>
      <c r="AE217" s="38" t="n">
        <v>0.7</v>
      </c>
      <c r="AF217" s="40" t="n">
        <f aca="false">100*('Perfil e pressupostos'!$F$14*AB217+'Perfil e pressupostos'!$F$15*AC217+'Perfil e pressupostos'!$F$16*AD217+'Perfil e pressupostos'!$F$17*AE217)/'Perfil e pressupostos'!$F$18</f>
        <v>90</v>
      </c>
      <c r="AG217" s="41" t="n">
        <f aca="false">INDEX('Perfil e pressupostos'!$B$25:$B$28,MATCH(V217,'Perfil e pressupostos'!$A$25:$A$28,0))</f>
        <v>0.08</v>
      </c>
      <c r="AH217" s="41" t="n">
        <f aca="false">MIN('Perfil e pressupostos'!$F$29,AG217*('Perfil e pressupostos'!$F$25+'Perfil e pressupostos'!$F$26*AF217/100)*IF(AD217&lt;='Perfil e pressupostos'!$F$28,'Perfil e pressupostos'!$F$27,1))</f>
        <v>0.1184</v>
      </c>
      <c r="AI217" s="35" t="str">
        <f aca="false">IF(AQ217=0,"—",IF(AH217&gt;='Perfil e pressupostos'!$F$30,"Boa",IF(AH217&gt;='Perfil e pressupostos'!$F$31,"Média","Baixa")))</f>
        <v>—</v>
      </c>
      <c r="AJ217" s="7" t="s">
        <v>961</v>
      </c>
      <c r="AK217" s="7" t="s">
        <v>1058</v>
      </c>
      <c r="AL217" s="35" t="str">
        <f aca="false">IF(AK217="Prazo expirado","Prazo passado",IF(LEFT(AK217,11)="Monitorizar","Monitorizar",IF(Y217&gt;=3.5,"Prioridade",IF(Y217&gt;=3,"Candidatar (reach)","Reserva"))))</f>
        <v>Monitorizar</v>
      </c>
      <c r="AM217" s="7" t="s">
        <v>1242</v>
      </c>
      <c r="AN217" s="42" t="s">
        <v>1243</v>
      </c>
      <c r="AO217" s="7" t="s">
        <v>361</v>
      </c>
      <c r="AP217" s="7" t="s">
        <v>218</v>
      </c>
      <c r="AQ217" s="7" t="n">
        <f aca="false">IF(OR(AK217="Prazo expirado",LEFT(AK217,11)="Monitorizar"),0,1)</f>
        <v>0</v>
      </c>
      <c r="AR217" s="41" t="n">
        <f aca="false">IF(AQ217=0,0,AH217)</f>
        <v>0</v>
      </c>
      <c r="AS217" s="41" t="n">
        <f aca="false">AR217*W217/5</f>
        <v>0</v>
      </c>
      <c r="AT217" s="43" t="n">
        <f aca="false">AS217+W217/1000000+(1000-ROW())/1000000000</f>
        <v>2.783E-006</v>
      </c>
      <c r="AU217" s="35" t="n">
        <f aca="false">RANK(AT217,$AT$4:$AT$227)</f>
        <v>224</v>
      </c>
      <c r="AV217" s="40" t="str">
        <f aca="false">IF(AQ217=0,"",AF217)</f>
        <v/>
      </c>
      <c r="AW217" s="41" t="str">
        <f aca="false">IF(AQ217=0,"",AH217)</f>
        <v/>
      </c>
    </row>
    <row r="218" customFormat="false" ht="33.75" hidden="false" customHeight="true" outlineLevel="0" collapsed="false">
      <c r="A218" s="35" t="n">
        <v>215</v>
      </c>
      <c r="B218" s="7" t="s">
        <v>1244</v>
      </c>
      <c r="C218" s="7" t="s">
        <v>1245</v>
      </c>
      <c r="D218" s="7" t="s">
        <v>947</v>
      </c>
      <c r="E218" s="7" t="s">
        <v>509</v>
      </c>
      <c r="F218" s="35" t="s">
        <v>89</v>
      </c>
      <c r="G218" s="7" t="s">
        <v>311</v>
      </c>
      <c r="H218" s="7" t="s">
        <v>172</v>
      </c>
      <c r="I218" s="7" t="s">
        <v>179</v>
      </c>
      <c r="J218" s="35" t="s">
        <v>207</v>
      </c>
      <c r="K218" s="7" t="s">
        <v>1174</v>
      </c>
      <c r="L218" s="7" t="s">
        <v>1241</v>
      </c>
      <c r="M218" s="7" t="s">
        <v>576</v>
      </c>
      <c r="N218" s="7" t="s">
        <v>215</v>
      </c>
      <c r="O218" s="7" t="s">
        <v>179</v>
      </c>
      <c r="P218" s="35" t="str">
        <f aca="true">IF(ISNUMBER(O218),O218-TODAY(),"")</f>
        <v/>
      </c>
      <c r="Q218" s="7" t="s">
        <v>179</v>
      </c>
      <c r="R218" s="36" t="n">
        <v>1100</v>
      </c>
      <c r="S218" s="36" t="n">
        <v>1400</v>
      </c>
      <c r="T218" s="37" t="n">
        <f aca="false">IF(R218="","",AVERAGE(R218,S218))</f>
        <v>1250</v>
      </c>
      <c r="U218" s="7" t="s">
        <v>547</v>
      </c>
      <c r="V218" s="38" t="s">
        <v>318</v>
      </c>
      <c r="W218" s="38" t="n">
        <v>2.5</v>
      </c>
      <c r="X218" s="38" t="n">
        <v>3.9</v>
      </c>
      <c r="Y218" s="35" t="n">
        <f aca="false">ROUND(0.6*W218+0.4*X218,1)</f>
        <v>3.1</v>
      </c>
      <c r="Z218" s="38" t="s">
        <v>518</v>
      </c>
      <c r="AA218" s="38" t="n">
        <v>0.3</v>
      </c>
      <c r="AB218" s="39" t="n">
        <f aca="false">1-AA218*(1-INDEX('Perfil e pressupostos'!$C$14:$C$20,MATCH(Z218,'Perfil e pressupostos'!$A$14:$A$20,0)))</f>
        <v>1</v>
      </c>
      <c r="AC218" s="38" t="n">
        <v>0.9</v>
      </c>
      <c r="AD218" s="38" t="n">
        <v>0.9</v>
      </c>
      <c r="AE218" s="38" t="n">
        <v>0.7</v>
      </c>
      <c r="AF218" s="40" t="n">
        <f aca="false">100*('Perfil e pressupostos'!$F$14*AB218+'Perfil e pressupostos'!$F$15*AC218+'Perfil e pressupostos'!$F$16*AD218+'Perfil e pressupostos'!$F$17*AE218)/'Perfil e pressupostos'!$F$18</f>
        <v>90</v>
      </c>
      <c r="AG218" s="41" t="n">
        <f aca="false">INDEX('Perfil e pressupostos'!$B$25:$B$28,MATCH(V218,'Perfil e pressupostos'!$A$25:$A$28,0))</f>
        <v>0.08</v>
      </c>
      <c r="AH218" s="41" t="n">
        <f aca="false">MIN('Perfil e pressupostos'!$F$29,AG218*('Perfil e pressupostos'!$F$25+'Perfil e pressupostos'!$F$26*AF218/100)*IF(AD218&lt;='Perfil e pressupostos'!$F$28,'Perfil e pressupostos'!$F$27,1))</f>
        <v>0.1184</v>
      </c>
      <c r="AI218" s="35" t="str">
        <f aca="false">IF(AQ218=0,"—",IF(AH218&gt;='Perfil e pressupostos'!$F$30,"Boa",IF(AH218&gt;='Perfil e pressupostos'!$F$31,"Média","Baixa")))</f>
        <v>—</v>
      </c>
      <c r="AJ218" s="7" t="s">
        <v>961</v>
      </c>
      <c r="AK218" s="7" t="s">
        <v>1058</v>
      </c>
      <c r="AL218" s="35" t="str">
        <f aca="false">IF(AK218="Prazo expirado","Prazo passado",IF(LEFT(AK218,11)="Monitorizar","Monitorizar",IF(Y218&gt;=3.5,"Prioridade",IF(Y218&gt;=3,"Candidatar (reach)","Reserva"))))</f>
        <v>Monitorizar</v>
      </c>
      <c r="AM218" s="7" t="s">
        <v>1246</v>
      </c>
      <c r="AN218" s="42" t="s">
        <v>1247</v>
      </c>
      <c r="AO218" s="7" t="s">
        <v>361</v>
      </c>
      <c r="AP218" s="7" t="s">
        <v>218</v>
      </c>
      <c r="AQ218" s="7" t="n">
        <f aca="false">IF(OR(AK218="Prazo expirado",LEFT(AK218,11)="Monitorizar"),0,1)</f>
        <v>0</v>
      </c>
      <c r="AR218" s="41" t="n">
        <f aca="false">IF(AQ218=0,0,AH218)</f>
        <v>0</v>
      </c>
      <c r="AS218" s="41" t="n">
        <f aca="false">AR218*W218/5</f>
        <v>0</v>
      </c>
      <c r="AT218" s="43" t="n">
        <f aca="false">AS218+W218/1000000+(1000-ROW())/1000000000</f>
        <v>3.282E-006</v>
      </c>
      <c r="AU218" s="35" t="n">
        <f aca="false">RANK(AT218,$AT$4:$AT$227)</f>
        <v>222</v>
      </c>
      <c r="AV218" s="40" t="str">
        <f aca="false">IF(AQ218=0,"",AF218)</f>
        <v/>
      </c>
      <c r="AW218" s="41" t="str">
        <f aca="false">IF(AQ218=0,"",AH218)</f>
        <v/>
      </c>
    </row>
    <row r="219" customFormat="false" ht="33.75" hidden="false" customHeight="true" outlineLevel="0" collapsed="false">
      <c r="A219" s="35" t="n">
        <v>216</v>
      </c>
      <c r="B219" s="7" t="s">
        <v>1248</v>
      </c>
      <c r="C219" s="7" t="s">
        <v>1249</v>
      </c>
      <c r="D219" s="7" t="s">
        <v>947</v>
      </c>
      <c r="E219" s="7" t="s">
        <v>1112</v>
      </c>
      <c r="F219" s="35" t="s">
        <v>89</v>
      </c>
      <c r="G219" s="7" t="s">
        <v>311</v>
      </c>
      <c r="H219" s="7" t="s">
        <v>172</v>
      </c>
      <c r="I219" s="7" t="s">
        <v>179</v>
      </c>
      <c r="J219" s="35" t="s">
        <v>965</v>
      </c>
      <c r="K219" s="7" t="s">
        <v>1174</v>
      </c>
      <c r="L219" s="7" t="s">
        <v>1241</v>
      </c>
      <c r="M219" s="7" t="s">
        <v>576</v>
      </c>
      <c r="N219" s="7" t="s">
        <v>215</v>
      </c>
      <c r="O219" s="7" t="s">
        <v>179</v>
      </c>
      <c r="P219" s="35" t="str">
        <f aca="true">IF(ISNUMBER(O219),O219-TODAY(),"")</f>
        <v/>
      </c>
      <c r="Q219" s="7" t="s">
        <v>179</v>
      </c>
      <c r="R219" s="36" t="n">
        <v>1100</v>
      </c>
      <c r="S219" s="36" t="n">
        <v>1500</v>
      </c>
      <c r="T219" s="37" t="n">
        <f aca="false">IF(R219="","",AVERAGE(R219,S219))</f>
        <v>1300</v>
      </c>
      <c r="U219" s="7" t="s">
        <v>547</v>
      </c>
      <c r="V219" s="38" t="s">
        <v>318</v>
      </c>
      <c r="W219" s="38" t="n">
        <v>2.5</v>
      </c>
      <c r="X219" s="38" t="n">
        <v>3.6</v>
      </c>
      <c r="Y219" s="35" t="n">
        <f aca="false">ROUND(0.6*W219+0.4*X219,1)</f>
        <v>2.9</v>
      </c>
      <c r="Z219" s="38" t="s">
        <v>518</v>
      </c>
      <c r="AA219" s="38" t="n">
        <v>0.3</v>
      </c>
      <c r="AB219" s="39" t="n">
        <f aca="false">1-AA219*(1-INDEX('Perfil e pressupostos'!$C$14:$C$20,MATCH(Z219,'Perfil e pressupostos'!$A$14:$A$20,0)))</f>
        <v>1</v>
      </c>
      <c r="AC219" s="38" t="n">
        <v>0.8</v>
      </c>
      <c r="AD219" s="38" t="n">
        <v>0.9</v>
      </c>
      <c r="AE219" s="38" t="n">
        <v>0.7</v>
      </c>
      <c r="AF219" s="40" t="n">
        <f aca="false">100*('Perfil e pressupostos'!$F$14*AB219+'Perfil e pressupostos'!$F$15*AC219+'Perfil e pressupostos'!$F$16*AD219+'Perfil e pressupostos'!$F$17*AE219)/'Perfil e pressupostos'!$F$18</f>
        <v>87</v>
      </c>
      <c r="AG219" s="41" t="n">
        <f aca="false">INDEX('Perfil e pressupostos'!$B$25:$B$28,MATCH(V219,'Perfil e pressupostos'!$A$25:$A$28,0))</f>
        <v>0.08</v>
      </c>
      <c r="AH219" s="41" t="n">
        <f aca="false">MIN('Perfil e pressupostos'!$F$29,AG219*('Perfil e pressupostos'!$F$25+'Perfil e pressupostos'!$F$26*AF219/100)*IF(AD219&lt;='Perfil e pressupostos'!$F$28,'Perfil e pressupostos'!$F$27,1))</f>
        <v>0.11552</v>
      </c>
      <c r="AI219" s="35" t="str">
        <f aca="false">IF(AQ219=0,"—",IF(AH219&gt;='Perfil e pressupostos'!$F$30,"Boa",IF(AH219&gt;='Perfil e pressupostos'!$F$31,"Média","Baixa")))</f>
        <v>Boa</v>
      </c>
      <c r="AJ219" s="7" t="s">
        <v>961</v>
      </c>
      <c r="AK219" s="7" t="s">
        <v>215</v>
      </c>
      <c r="AL219" s="35" t="str">
        <f aca="false">IF(AK219="Prazo expirado","Prazo passado",IF(LEFT(AK219,11)="Monitorizar","Monitorizar",IF(Y219&gt;=3.5,"Prioridade",IF(Y219&gt;=3,"Candidatar (reach)","Reserva"))))</f>
        <v>Reserva</v>
      </c>
      <c r="AM219" s="7" t="s">
        <v>1250</v>
      </c>
      <c r="AN219" s="42" t="s">
        <v>1251</v>
      </c>
      <c r="AO219" s="7" t="s">
        <v>361</v>
      </c>
      <c r="AP219" s="7" t="s">
        <v>218</v>
      </c>
      <c r="AQ219" s="7" t="n">
        <f aca="false">IF(OR(AK219="Prazo expirado",LEFT(AK219,11)="Monitorizar"),0,1)</f>
        <v>1</v>
      </c>
      <c r="AR219" s="41" t="n">
        <f aca="false">IF(AQ219=0,0,AH219)</f>
        <v>0.11552</v>
      </c>
      <c r="AS219" s="41" t="n">
        <f aca="false">AR219*W219/5</f>
        <v>0.05776</v>
      </c>
      <c r="AT219" s="43" t="n">
        <f aca="false">AS219+W219/1000000+(1000-ROW())/1000000000</f>
        <v>0.057763281</v>
      </c>
      <c r="AU219" s="35" t="n">
        <f aca="false">RANK(AT219,$AT$4:$AT$227)</f>
        <v>33</v>
      </c>
      <c r="AV219" s="40" t="n">
        <f aca="false">IF(AQ219=0,"",AF219)</f>
        <v>87</v>
      </c>
      <c r="AW219" s="41" t="n">
        <f aca="false">IF(AQ219=0,"",AH219)</f>
        <v>0.11552</v>
      </c>
    </row>
    <row r="220" customFormat="false" ht="45" hidden="false" customHeight="true" outlineLevel="0" collapsed="false">
      <c r="A220" s="35" t="n">
        <v>217</v>
      </c>
      <c r="B220" s="7" t="s">
        <v>1252</v>
      </c>
      <c r="C220" s="7" t="s">
        <v>1253</v>
      </c>
      <c r="D220" s="7" t="s">
        <v>947</v>
      </c>
      <c r="E220" s="7" t="s">
        <v>942</v>
      </c>
      <c r="F220" s="35" t="s">
        <v>89</v>
      </c>
      <c r="G220" s="7" t="s">
        <v>311</v>
      </c>
      <c r="H220" s="7" t="s">
        <v>172</v>
      </c>
      <c r="I220" s="7" t="s">
        <v>179</v>
      </c>
      <c r="J220" s="35" t="s">
        <v>1254</v>
      </c>
      <c r="K220" s="7" t="s">
        <v>1255</v>
      </c>
      <c r="L220" s="7" t="s">
        <v>1256</v>
      </c>
      <c r="M220" s="7" t="s">
        <v>576</v>
      </c>
      <c r="N220" s="7" t="s">
        <v>215</v>
      </c>
      <c r="O220" s="7" t="s">
        <v>179</v>
      </c>
      <c r="P220" s="35" t="str">
        <f aca="true">IF(ISNUMBER(O220),O220-TODAY(),"")</f>
        <v/>
      </c>
      <c r="Q220" s="7" t="s">
        <v>179</v>
      </c>
      <c r="R220" s="36" t="n">
        <v>1000</v>
      </c>
      <c r="S220" s="36" t="n">
        <v>1400</v>
      </c>
      <c r="T220" s="37" t="n">
        <f aca="false">IF(R220="","",AVERAGE(R220,S220))</f>
        <v>1200</v>
      </c>
      <c r="U220" s="7" t="s">
        <v>547</v>
      </c>
      <c r="V220" s="38" t="s">
        <v>517</v>
      </c>
      <c r="W220" s="38" t="n">
        <v>2</v>
      </c>
      <c r="X220" s="38" t="n">
        <v>4.2</v>
      </c>
      <c r="Y220" s="35" t="n">
        <f aca="false">ROUND(0.6*W220+0.4*X220,1)</f>
        <v>2.9</v>
      </c>
      <c r="Z220" s="38" t="s">
        <v>518</v>
      </c>
      <c r="AA220" s="38" t="n">
        <v>0.3</v>
      </c>
      <c r="AB220" s="39" t="n">
        <f aca="false">1-AA220*(1-INDEX('Perfil e pressupostos'!$C$14:$C$20,MATCH(Z220,'Perfil e pressupostos'!$A$14:$A$20,0)))</f>
        <v>1</v>
      </c>
      <c r="AC220" s="38" t="n">
        <v>0.9</v>
      </c>
      <c r="AD220" s="38" t="n">
        <v>1</v>
      </c>
      <c r="AE220" s="38" t="n">
        <v>0.7</v>
      </c>
      <c r="AF220" s="40" t="n">
        <f aca="false">100*('Perfil e pressupostos'!$F$14*AB220+'Perfil e pressupostos'!$F$15*AC220+'Perfil e pressupostos'!$F$16*AD220+'Perfil e pressupostos'!$F$17*AE220)/'Perfil e pressupostos'!$F$18</f>
        <v>92.5</v>
      </c>
      <c r="AG220" s="41" t="n">
        <f aca="false">INDEX('Perfil e pressupostos'!$B$25:$B$28,MATCH(V220,'Perfil e pressupostos'!$A$25:$A$28,0))</f>
        <v>0.12</v>
      </c>
      <c r="AH220" s="41" t="n">
        <f aca="false">MIN('Perfil e pressupostos'!$F$29,AG220*('Perfil e pressupostos'!$F$25+'Perfil e pressupostos'!$F$26*AF220/100)*IF(AD220&lt;='Perfil e pressupostos'!$F$28,'Perfil e pressupostos'!$F$27,1))</f>
        <v>0.1812</v>
      </c>
      <c r="AI220" s="35" t="str">
        <f aca="false">IF(AQ220=0,"—",IF(AH220&gt;='Perfil e pressupostos'!$F$30,"Boa",IF(AH220&gt;='Perfil e pressupostos'!$F$31,"Média","Baixa")))</f>
        <v>Boa</v>
      </c>
      <c r="AJ220" s="7" t="s">
        <v>961</v>
      </c>
      <c r="AK220" s="7" t="s">
        <v>215</v>
      </c>
      <c r="AL220" s="35" t="str">
        <f aca="false">IF(AK220="Prazo expirado","Prazo passado",IF(LEFT(AK220,11)="Monitorizar","Monitorizar",IF(Y220&gt;=3.5,"Prioridade",IF(Y220&gt;=3,"Candidatar (reach)","Reserva"))))</f>
        <v>Reserva</v>
      </c>
      <c r="AM220" s="7" t="s">
        <v>1257</v>
      </c>
      <c r="AN220" s="42" t="s">
        <v>1258</v>
      </c>
      <c r="AO220" s="7" t="s">
        <v>295</v>
      </c>
      <c r="AP220" s="7" t="s">
        <v>218</v>
      </c>
      <c r="AQ220" s="7" t="n">
        <f aca="false">IF(OR(AK220="Prazo expirado",LEFT(AK220,11)="Monitorizar"),0,1)</f>
        <v>1</v>
      </c>
      <c r="AR220" s="41" t="n">
        <f aca="false">IF(AQ220=0,0,AH220)</f>
        <v>0.1812</v>
      </c>
      <c r="AS220" s="41" t="n">
        <f aca="false">AR220*W220/5</f>
        <v>0.07248</v>
      </c>
      <c r="AT220" s="43" t="n">
        <f aca="false">AS220+W220/1000000+(1000-ROW())/1000000000</f>
        <v>0.07248278</v>
      </c>
      <c r="AU220" s="35" t="n">
        <f aca="false">RANK(AT220,$AT$4:$AT$227)</f>
        <v>21</v>
      </c>
      <c r="AV220" s="40" t="n">
        <f aca="false">IF(AQ220=0,"",AF220)</f>
        <v>92.5</v>
      </c>
      <c r="AW220" s="41" t="n">
        <f aca="false">IF(AQ220=0,"",AH220)</f>
        <v>0.1812</v>
      </c>
    </row>
    <row r="221" customFormat="false" ht="22.5" hidden="false" customHeight="true" outlineLevel="0" collapsed="false">
      <c r="A221" s="35" t="n">
        <v>218</v>
      </c>
      <c r="B221" s="7" t="s">
        <v>1259</v>
      </c>
      <c r="C221" s="7" t="s">
        <v>1260</v>
      </c>
      <c r="D221" s="7" t="s">
        <v>1261</v>
      </c>
      <c r="E221" s="7" t="s">
        <v>942</v>
      </c>
      <c r="F221" s="35" t="s">
        <v>89</v>
      </c>
      <c r="G221" s="7" t="s">
        <v>311</v>
      </c>
      <c r="H221" s="7" t="s">
        <v>172</v>
      </c>
      <c r="I221" s="7" t="s">
        <v>179</v>
      </c>
      <c r="J221" s="35" t="s">
        <v>207</v>
      </c>
      <c r="K221" s="7" t="s">
        <v>643</v>
      </c>
      <c r="L221" s="7" t="s">
        <v>644</v>
      </c>
      <c r="M221" s="7" t="s">
        <v>576</v>
      </c>
      <c r="N221" s="7" t="s">
        <v>215</v>
      </c>
      <c r="O221" s="7" t="s">
        <v>179</v>
      </c>
      <c r="P221" s="35" t="str">
        <f aca="true">IF(ISNUMBER(O221),O221-TODAY(),"")</f>
        <v/>
      </c>
      <c r="Q221" s="7" t="s">
        <v>179</v>
      </c>
      <c r="R221" s="36" t="n">
        <v>1000</v>
      </c>
      <c r="S221" s="36" t="n">
        <v>1300</v>
      </c>
      <c r="T221" s="37" t="n">
        <f aca="false">IF(R221="","",AVERAGE(R221,S221))</f>
        <v>1150</v>
      </c>
      <c r="U221" s="7" t="s">
        <v>547</v>
      </c>
      <c r="V221" s="38" t="s">
        <v>517</v>
      </c>
      <c r="W221" s="38" t="n">
        <v>2.5</v>
      </c>
      <c r="X221" s="38" t="n">
        <v>4</v>
      </c>
      <c r="Y221" s="35" t="n">
        <f aca="false">ROUND(0.6*W221+0.4*X221,1)</f>
        <v>3.1</v>
      </c>
      <c r="Z221" s="38" t="s">
        <v>182</v>
      </c>
      <c r="AA221" s="38" t="n">
        <v>0.8</v>
      </c>
      <c r="AB221" s="39" t="n">
        <f aca="false">1-AA221*(1-INDEX('Perfil e pressupostos'!$C$14:$C$20,MATCH(Z221,'Perfil e pressupostos'!$A$14:$A$20,0)))</f>
        <v>0.96</v>
      </c>
      <c r="AC221" s="38" t="n">
        <v>0.9</v>
      </c>
      <c r="AD221" s="38" t="n">
        <v>1</v>
      </c>
      <c r="AE221" s="38" t="n">
        <v>0.7</v>
      </c>
      <c r="AF221" s="40" t="n">
        <f aca="false">100*('Perfil e pressupostos'!$F$14*AB221+'Perfil e pressupostos'!$F$15*AC221+'Perfil e pressupostos'!$F$16*AD221+'Perfil e pressupostos'!$F$17*AE221)/'Perfil e pressupostos'!$F$18</f>
        <v>91.3</v>
      </c>
      <c r="AG221" s="41" t="n">
        <f aca="false">INDEX('Perfil e pressupostos'!$B$25:$B$28,MATCH(V221,'Perfil e pressupostos'!$A$25:$A$28,0))</f>
        <v>0.12</v>
      </c>
      <c r="AH221" s="41" t="n">
        <f aca="false">MIN('Perfil e pressupostos'!$F$29,AG221*('Perfil e pressupostos'!$F$25+'Perfil e pressupostos'!$F$26*AF221/100)*IF(AD221&lt;='Perfil e pressupostos'!$F$28,'Perfil e pressupostos'!$F$27,1))</f>
        <v>0.179472</v>
      </c>
      <c r="AI221" s="35" t="str">
        <f aca="false">IF(AQ221=0,"—",IF(AH221&gt;='Perfil e pressupostos'!$F$30,"Boa",IF(AH221&gt;='Perfil e pressupostos'!$F$31,"Média","Baixa")))</f>
        <v>Boa</v>
      </c>
      <c r="AJ221" s="7" t="s">
        <v>1098</v>
      </c>
      <c r="AK221" s="7" t="s">
        <v>215</v>
      </c>
      <c r="AL221" s="35" t="str">
        <f aca="false">IF(AK221="Prazo expirado","Prazo passado",IF(LEFT(AK221,11)="Monitorizar","Monitorizar",IF(Y221&gt;=3.5,"Prioridade",IF(Y221&gt;=3,"Candidatar (reach)","Reserva"))))</f>
        <v>Candidatar (reach)</v>
      </c>
      <c r="AM221" s="7" t="s">
        <v>548</v>
      </c>
      <c r="AN221" s="42" t="s">
        <v>1262</v>
      </c>
      <c r="AO221" s="7" t="s">
        <v>361</v>
      </c>
      <c r="AP221" s="7" t="s">
        <v>218</v>
      </c>
      <c r="AQ221" s="7" t="n">
        <f aca="false">IF(OR(AK221="Prazo expirado",LEFT(AK221,11)="Monitorizar"),0,1)</f>
        <v>1</v>
      </c>
      <c r="AR221" s="41" t="n">
        <f aca="false">IF(AQ221=0,0,AH221)</f>
        <v>0.179472</v>
      </c>
      <c r="AS221" s="41" t="n">
        <f aca="false">AR221*W221/5</f>
        <v>0.089736</v>
      </c>
      <c r="AT221" s="43" t="n">
        <f aca="false">AS221+W221/1000000+(1000-ROW())/1000000000</f>
        <v>0.089739279</v>
      </c>
      <c r="AU221" s="35" t="n">
        <f aca="false">RANK(AT221,$AT$4:$AT$227)</f>
        <v>10</v>
      </c>
      <c r="AV221" s="40" t="n">
        <f aca="false">IF(AQ221=0,"",AF221)</f>
        <v>91.3</v>
      </c>
      <c r="AW221" s="41" t="n">
        <f aca="false">IF(AQ221=0,"",AH221)</f>
        <v>0.179472</v>
      </c>
    </row>
    <row r="222" customFormat="false" ht="22.5" hidden="false" customHeight="true" outlineLevel="0" collapsed="false">
      <c r="A222" s="35" t="n">
        <v>219</v>
      </c>
      <c r="B222" s="7" t="s">
        <v>1263</v>
      </c>
      <c r="C222" s="7" t="s">
        <v>1264</v>
      </c>
      <c r="D222" s="7" t="s">
        <v>1265</v>
      </c>
      <c r="E222" s="7" t="s">
        <v>1266</v>
      </c>
      <c r="F222" s="35" t="s">
        <v>89</v>
      </c>
      <c r="G222" s="7" t="s">
        <v>311</v>
      </c>
      <c r="H222" s="7" t="s">
        <v>172</v>
      </c>
      <c r="I222" s="7" t="s">
        <v>179</v>
      </c>
      <c r="J222" s="35" t="s">
        <v>207</v>
      </c>
      <c r="K222" s="7" t="s">
        <v>643</v>
      </c>
      <c r="L222" s="7" t="s">
        <v>644</v>
      </c>
      <c r="M222" s="7" t="s">
        <v>576</v>
      </c>
      <c r="N222" s="7" t="s">
        <v>215</v>
      </c>
      <c r="O222" s="7" t="s">
        <v>179</v>
      </c>
      <c r="P222" s="35" t="str">
        <f aca="true">IF(ISNUMBER(O222),O222-TODAY(),"")</f>
        <v/>
      </c>
      <c r="Q222" s="7" t="s">
        <v>179</v>
      </c>
      <c r="R222" s="36" t="n">
        <v>900</v>
      </c>
      <c r="S222" s="36" t="n">
        <v>1200</v>
      </c>
      <c r="T222" s="37" t="n">
        <f aca="false">IF(R222="","",AVERAGE(R222,S222))</f>
        <v>1050</v>
      </c>
      <c r="U222" s="7" t="s">
        <v>547</v>
      </c>
      <c r="V222" s="38" t="s">
        <v>517</v>
      </c>
      <c r="W222" s="38" t="n">
        <v>2.5</v>
      </c>
      <c r="X222" s="38" t="n">
        <v>4</v>
      </c>
      <c r="Y222" s="35" t="n">
        <f aca="false">ROUND(0.6*W222+0.4*X222,1)</f>
        <v>3.1</v>
      </c>
      <c r="Z222" s="38" t="s">
        <v>182</v>
      </c>
      <c r="AA222" s="38" t="n">
        <v>0.8</v>
      </c>
      <c r="AB222" s="39" t="n">
        <f aca="false">1-AA222*(1-INDEX('Perfil e pressupostos'!$C$14:$C$20,MATCH(Z222,'Perfil e pressupostos'!$A$14:$A$20,0)))</f>
        <v>0.96</v>
      </c>
      <c r="AC222" s="38" t="n">
        <v>0.9</v>
      </c>
      <c r="AD222" s="38" t="n">
        <v>1</v>
      </c>
      <c r="AE222" s="38" t="n">
        <v>0.7</v>
      </c>
      <c r="AF222" s="40" t="n">
        <f aca="false">100*('Perfil e pressupostos'!$F$14*AB222+'Perfil e pressupostos'!$F$15*AC222+'Perfil e pressupostos'!$F$16*AD222+'Perfil e pressupostos'!$F$17*AE222)/'Perfil e pressupostos'!$F$18</f>
        <v>91.3</v>
      </c>
      <c r="AG222" s="41" t="n">
        <f aca="false">INDEX('Perfil e pressupostos'!$B$25:$B$28,MATCH(V222,'Perfil e pressupostos'!$A$25:$A$28,0))</f>
        <v>0.12</v>
      </c>
      <c r="AH222" s="41" t="n">
        <f aca="false">MIN('Perfil e pressupostos'!$F$29,AG222*('Perfil e pressupostos'!$F$25+'Perfil e pressupostos'!$F$26*AF222/100)*IF(AD222&lt;='Perfil e pressupostos'!$F$28,'Perfil e pressupostos'!$F$27,1))</f>
        <v>0.179472</v>
      </c>
      <c r="AI222" s="35" t="str">
        <f aca="false">IF(AQ222=0,"—",IF(AH222&gt;='Perfil e pressupostos'!$F$30,"Boa",IF(AH222&gt;='Perfil e pressupostos'!$F$31,"Média","Baixa")))</f>
        <v>Boa</v>
      </c>
      <c r="AJ222" s="7" t="s">
        <v>1098</v>
      </c>
      <c r="AK222" s="7" t="s">
        <v>215</v>
      </c>
      <c r="AL222" s="35" t="str">
        <f aca="false">IF(AK222="Prazo expirado","Prazo passado",IF(LEFT(AK222,11)="Monitorizar","Monitorizar",IF(Y222&gt;=3.5,"Prioridade",IF(Y222&gt;=3,"Candidatar (reach)","Reserva"))))</f>
        <v>Candidatar (reach)</v>
      </c>
      <c r="AM222" s="7" t="s">
        <v>1267</v>
      </c>
      <c r="AN222" s="42" t="s">
        <v>1268</v>
      </c>
      <c r="AO222" s="7" t="s">
        <v>361</v>
      </c>
      <c r="AP222" s="7" t="s">
        <v>218</v>
      </c>
      <c r="AQ222" s="7" t="n">
        <f aca="false">IF(OR(AK222="Prazo expirado",LEFT(AK222,11)="Monitorizar"),0,1)</f>
        <v>1</v>
      </c>
      <c r="AR222" s="41" t="n">
        <f aca="false">IF(AQ222=0,0,AH222)</f>
        <v>0.179472</v>
      </c>
      <c r="AS222" s="41" t="n">
        <f aca="false">AR222*W222/5</f>
        <v>0.089736</v>
      </c>
      <c r="AT222" s="43" t="n">
        <f aca="false">AS222+W222/1000000+(1000-ROW())/1000000000</f>
        <v>0.089739278</v>
      </c>
      <c r="AU222" s="35" t="n">
        <f aca="false">RANK(AT222,$AT$4:$AT$227)</f>
        <v>11</v>
      </c>
      <c r="AV222" s="40" t="n">
        <f aca="false">IF(AQ222=0,"",AF222)</f>
        <v>91.3</v>
      </c>
      <c r="AW222" s="41" t="n">
        <f aca="false">IF(AQ222=0,"",AH222)</f>
        <v>0.179472</v>
      </c>
    </row>
    <row r="223" customFormat="false" ht="33.75" hidden="false" customHeight="true" outlineLevel="0" collapsed="false">
      <c r="A223" s="35" t="n">
        <v>220</v>
      </c>
      <c r="B223" s="7" t="s">
        <v>1269</v>
      </c>
      <c r="C223" s="7" t="s">
        <v>1270</v>
      </c>
      <c r="D223" s="7" t="s">
        <v>1271</v>
      </c>
      <c r="E223" s="7" t="s">
        <v>1266</v>
      </c>
      <c r="F223" s="35" t="s">
        <v>89</v>
      </c>
      <c r="G223" s="7" t="s">
        <v>311</v>
      </c>
      <c r="H223" s="7" t="s">
        <v>172</v>
      </c>
      <c r="I223" s="7" t="s">
        <v>179</v>
      </c>
      <c r="J223" s="35" t="s">
        <v>207</v>
      </c>
      <c r="K223" s="7" t="s">
        <v>604</v>
      </c>
      <c r="L223" s="7" t="s">
        <v>605</v>
      </c>
      <c r="M223" s="7" t="s">
        <v>576</v>
      </c>
      <c r="N223" s="7" t="s">
        <v>215</v>
      </c>
      <c r="O223" s="7" t="s">
        <v>179</v>
      </c>
      <c r="P223" s="35" t="str">
        <f aca="true">IF(ISNUMBER(O223),O223-TODAY(),"")</f>
        <v/>
      </c>
      <c r="Q223" s="7" t="s">
        <v>179</v>
      </c>
      <c r="R223" s="36" t="n">
        <v>1400</v>
      </c>
      <c r="S223" s="36" t="n">
        <v>2000</v>
      </c>
      <c r="T223" s="37" t="n">
        <f aca="false">IF(R223="","",AVERAGE(R223,S223))</f>
        <v>1700</v>
      </c>
      <c r="U223" s="7" t="s">
        <v>547</v>
      </c>
      <c r="V223" s="38" t="s">
        <v>199</v>
      </c>
      <c r="W223" s="38" t="n">
        <v>3</v>
      </c>
      <c r="X223" s="38" t="n">
        <v>2</v>
      </c>
      <c r="Y223" s="35" t="n">
        <f aca="false">ROUND(0.6*W223+0.4*X223,1)</f>
        <v>2.6</v>
      </c>
      <c r="Z223" s="38" t="s">
        <v>182</v>
      </c>
      <c r="AA223" s="38" t="n">
        <v>1</v>
      </c>
      <c r="AB223" s="39" t="n">
        <f aca="false">1-AA223*(1-INDEX('Perfil e pressupostos'!$C$14:$C$20,MATCH(Z223,'Perfil e pressupostos'!$A$14:$A$20,0)))</f>
        <v>0.95</v>
      </c>
      <c r="AC223" s="38" t="n">
        <v>0.4</v>
      </c>
      <c r="AD223" s="38" t="n">
        <v>0.6</v>
      </c>
      <c r="AE223" s="38" t="n">
        <v>0.8</v>
      </c>
      <c r="AF223" s="40" t="n">
        <f aca="false">100*('Perfil e pressupostos'!$F$14*AB223+'Perfil e pressupostos'!$F$15*AC223+'Perfil e pressupostos'!$F$16*AD223+'Perfil e pressupostos'!$F$17*AE223)/'Perfil e pressupostos'!$F$18</f>
        <v>67.5</v>
      </c>
      <c r="AG223" s="41" t="n">
        <f aca="false">INDEX('Perfil e pressupostos'!$B$25:$B$28,MATCH(V223,'Perfil e pressupostos'!$A$25:$A$28,0))</f>
        <v>0.03</v>
      </c>
      <c r="AH223" s="41" t="n">
        <f aca="false">MIN('Perfil e pressupostos'!$F$29,AG223*('Perfil e pressupostos'!$F$25+'Perfil e pressupostos'!$F$26*AF223/100)*IF(AD223&lt;='Perfil e pressupostos'!$F$28,'Perfil e pressupostos'!$F$27,1))</f>
        <v>0.0363</v>
      </c>
      <c r="AI223" s="35" t="str">
        <f aca="false">IF(AQ223=0,"—",IF(AH223&gt;='Perfil e pressupostos'!$F$30,"Boa",IF(AH223&gt;='Perfil e pressupostos'!$F$31,"Média","Baixa")))</f>
        <v>Média</v>
      </c>
      <c r="AJ223" s="7" t="s">
        <v>445</v>
      </c>
      <c r="AK223" s="7" t="s">
        <v>184</v>
      </c>
      <c r="AL223" s="35" t="str">
        <f aca="false">IF(AK223="Prazo expirado","Prazo passado",IF(LEFT(AK223,11)="Monitorizar","Monitorizar",IF(Y223&gt;=3.5,"Prioridade",IF(Y223&gt;=3,"Candidatar (reach)","Reserva"))))</f>
        <v>Reserva</v>
      </c>
      <c r="AM223" s="7" t="s">
        <v>1272</v>
      </c>
      <c r="AN223" s="42" t="s">
        <v>1273</v>
      </c>
      <c r="AO223" s="7" t="s">
        <v>187</v>
      </c>
      <c r="AP223" s="7" t="s">
        <v>218</v>
      </c>
      <c r="AQ223" s="7" t="n">
        <f aca="false">IF(OR(AK223="Prazo expirado",LEFT(AK223,11)="Monitorizar"),0,1)</f>
        <v>1</v>
      </c>
      <c r="AR223" s="41" t="n">
        <f aca="false">IF(AQ223=0,0,AH223)</f>
        <v>0.0363</v>
      </c>
      <c r="AS223" s="41" t="n">
        <f aca="false">AR223*W223/5</f>
        <v>0.02178</v>
      </c>
      <c r="AT223" s="43" t="n">
        <f aca="false">AS223+W223/1000000+(1000-ROW())/1000000000</f>
        <v>0.021783777</v>
      </c>
      <c r="AU223" s="35" t="n">
        <f aca="false">RANK(AT223,$AT$4:$AT$227)</f>
        <v>72</v>
      </c>
      <c r="AV223" s="40" t="n">
        <f aca="false">IF(AQ223=0,"",AF223)</f>
        <v>67.5</v>
      </c>
      <c r="AW223" s="41" t="n">
        <f aca="false">IF(AQ223=0,"",AH223)</f>
        <v>0.0363</v>
      </c>
    </row>
    <row r="224" customFormat="false" ht="33.75" hidden="false" customHeight="true" outlineLevel="0" collapsed="false">
      <c r="A224" s="35" t="n">
        <v>221</v>
      </c>
      <c r="B224" s="7" t="s">
        <v>1274</v>
      </c>
      <c r="C224" s="7" t="s">
        <v>1275</v>
      </c>
      <c r="D224" s="7" t="s">
        <v>1276</v>
      </c>
      <c r="E224" s="7" t="s">
        <v>230</v>
      </c>
      <c r="F224" s="35" t="s">
        <v>89</v>
      </c>
      <c r="G224" s="7" t="s">
        <v>311</v>
      </c>
      <c r="H224" s="7" t="s">
        <v>172</v>
      </c>
      <c r="I224" s="7" t="s">
        <v>179</v>
      </c>
      <c r="J224" s="35" t="s">
        <v>207</v>
      </c>
      <c r="K224" s="7" t="s">
        <v>1277</v>
      </c>
      <c r="L224" s="7" t="s">
        <v>545</v>
      </c>
      <c r="M224" s="7" t="s">
        <v>576</v>
      </c>
      <c r="N224" s="7" t="s">
        <v>215</v>
      </c>
      <c r="O224" s="7" t="s">
        <v>179</v>
      </c>
      <c r="P224" s="35" t="str">
        <f aca="true">IF(ISNUMBER(O224),O224-TODAY(),"")</f>
        <v/>
      </c>
      <c r="Q224" s="7" t="s">
        <v>179</v>
      </c>
      <c r="R224" s="36" t="n">
        <v>1000</v>
      </c>
      <c r="S224" s="36" t="n">
        <v>1300</v>
      </c>
      <c r="T224" s="37" t="n">
        <f aca="false">IF(R224="","",AVERAGE(R224,S224))</f>
        <v>1150</v>
      </c>
      <c r="U224" s="7" t="s">
        <v>547</v>
      </c>
      <c r="V224" s="38" t="s">
        <v>199</v>
      </c>
      <c r="W224" s="38" t="n">
        <v>4.5</v>
      </c>
      <c r="X224" s="38" t="n">
        <v>1.9</v>
      </c>
      <c r="Y224" s="35" t="n">
        <f aca="false">ROUND(0.6*W224+0.4*X224,1)</f>
        <v>3.5</v>
      </c>
      <c r="Z224" s="38" t="s">
        <v>518</v>
      </c>
      <c r="AA224" s="38" t="n">
        <v>0.3</v>
      </c>
      <c r="AB224" s="39" t="n">
        <f aca="false">1-AA224*(1-INDEX('Perfil e pressupostos'!$C$14:$C$20,MATCH(Z224,'Perfil e pressupostos'!$A$14:$A$20,0)))</f>
        <v>1</v>
      </c>
      <c r="AC224" s="38" t="n">
        <v>0.1</v>
      </c>
      <c r="AD224" s="38" t="n">
        <v>0.8</v>
      </c>
      <c r="AE224" s="38" t="n">
        <v>0.8</v>
      </c>
      <c r="AF224" s="40" t="n">
        <f aca="false">100*('Perfil e pressupostos'!$F$14*AB224+'Perfil e pressupostos'!$F$15*AC224+'Perfil e pressupostos'!$F$16*AD224+'Perfil e pressupostos'!$F$17*AE224)/'Perfil e pressupostos'!$F$18</f>
        <v>65</v>
      </c>
      <c r="AG224" s="41" t="n">
        <f aca="false">INDEX('Perfil e pressupostos'!$B$25:$B$28,MATCH(V224,'Perfil e pressupostos'!$A$25:$A$28,0))</f>
        <v>0.03</v>
      </c>
      <c r="AH224" s="41" t="n">
        <f aca="false">MIN('Perfil e pressupostos'!$F$29,AG224*('Perfil e pressupostos'!$F$25+'Perfil e pressupostos'!$F$26*AF224/100)*IF(AD224&lt;='Perfil e pressupostos'!$F$28,'Perfil e pressupostos'!$F$27,1))</f>
        <v>0.0354</v>
      </c>
      <c r="AI224" s="35" t="str">
        <f aca="false">IF(AQ224=0,"—",IF(AH224&gt;='Perfil e pressupostos'!$F$30,"Boa",IF(AH224&gt;='Perfil e pressupostos'!$F$31,"Média","Baixa")))</f>
        <v>Média</v>
      </c>
      <c r="AJ224" s="7" t="s">
        <v>1278</v>
      </c>
      <c r="AK224" s="7" t="s">
        <v>540</v>
      </c>
      <c r="AL224" s="35" t="str">
        <f aca="false">IF(AK224="Prazo expirado","Prazo passado",IF(LEFT(AK224,11)="Monitorizar","Monitorizar",IF(Y224&gt;=3.5,"Prioridade",IF(Y224&gt;=3,"Candidatar (reach)","Reserva"))))</f>
        <v>Prioridade</v>
      </c>
      <c r="AM224" s="7" t="s">
        <v>1279</v>
      </c>
      <c r="AN224" s="42" t="s">
        <v>1280</v>
      </c>
      <c r="AO224" s="7" t="s">
        <v>295</v>
      </c>
      <c r="AP224" s="7" t="s">
        <v>215</v>
      </c>
      <c r="AQ224" s="7" t="n">
        <f aca="false">IF(OR(AK224="Prazo expirado",LEFT(AK224,11)="Monitorizar"),0,1)</f>
        <v>1</v>
      </c>
      <c r="AR224" s="41" t="n">
        <f aca="false">IF(AQ224=0,0,AH224)</f>
        <v>0.0354</v>
      </c>
      <c r="AS224" s="41" t="n">
        <f aca="false">AR224*W224/5</f>
        <v>0.03186</v>
      </c>
      <c r="AT224" s="43" t="n">
        <f aca="false">AS224+W224/1000000+(1000-ROW())/1000000000</f>
        <v>0.031865276</v>
      </c>
      <c r="AU224" s="35" t="n">
        <f aca="false">RANK(AT224,$AT$4:$AT$227)</f>
        <v>45</v>
      </c>
      <c r="AV224" s="40" t="n">
        <f aca="false">IF(AQ224=0,"",AF224)</f>
        <v>65</v>
      </c>
      <c r="AW224" s="41" t="n">
        <f aca="false">IF(AQ224=0,"",AH224)</f>
        <v>0.0354</v>
      </c>
    </row>
    <row r="225" customFormat="false" ht="45" hidden="false" customHeight="true" outlineLevel="0" collapsed="false">
      <c r="A225" s="35" t="n">
        <v>222</v>
      </c>
      <c r="B225" s="7" t="s">
        <v>1281</v>
      </c>
      <c r="C225" s="7" t="s">
        <v>1282</v>
      </c>
      <c r="D225" s="7" t="s">
        <v>1276</v>
      </c>
      <c r="E225" s="7" t="s">
        <v>230</v>
      </c>
      <c r="F225" s="35" t="s">
        <v>89</v>
      </c>
      <c r="G225" s="7" t="s">
        <v>311</v>
      </c>
      <c r="H225" s="7" t="s">
        <v>172</v>
      </c>
      <c r="I225" s="7" t="s">
        <v>179</v>
      </c>
      <c r="J225" s="35" t="s">
        <v>207</v>
      </c>
      <c r="K225" s="7" t="s">
        <v>544</v>
      </c>
      <c r="L225" s="7" t="s">
        <v>545</v>
      </c>
      <c r="M225" s="7" t="s">
        <v>576</v>
      </c>
      <c r="N225" s="7" t="s">
        <v>215</v>
      </c>
      <c r="O225" s="7" t="s">
        <v>179</v>
      </c>
      <c r="P225" s="35" t="str">
        <f aca="true">IF(ISNUMBER(O225),O225-TODAY(),"")</f>
        <v/>
      </c>
      <c r="Q225" s="7" t="s">
        <v>179</v>
      </c>
      <c r="R225" s="36" t="n">
        <v>1000</v>
      </c>
      <c r="S225" s="36" t="n">
        <v>1300</v>
      </c>
      <c r="T225" s="37" t="n">
        <f aca="false">IF(R225="","",AVERAGE(R225,S225))</f>
        <v>1150</v>
      </c>
      <c r="U225" s="7" t="s">
        <v>547</v>
      </c>
      <c r="V225" s="38" t="s">
        <v>199</v>
      </c>
      <c r="W225" s="38" t="n">
        <v>4.5</v>
      </c>
      <c r="X225" s="38" t="n">
        <v>1.9</v>
      </c>
      <c r="Y225" s="35" t="n">
        <f aca="false">ROUND(0.6*W225+0.4*X225,1)</f>
        <v>3.5</v>
      </c>
      <c r="Z225" s="38" t="s">
        <v>518</v>
      </c>
      <c r="AA225" s="38" t="n">
        <v>0.3</v>
      </c>
      <c r="AB225" s="39" t="n">
        <f aca="false">1-AA225*(1-INDEX('Perfil e pressupostos'!$C$14:$C$20,MATCH(Z225,'Perfil e pressupostos'!$A$14:$A$20,0)))</f>
        <v>1</v>
      </c>
      <c r="AC225" s="38" t="n">
        <v>0.1</v>
      </c>
      <c r="AD225" s="38" t="n">
        <v>0.8</v>
      </c>
      <c r="AE225" s="38" t="n">
        <v>0.8</v>
      </c>
      <c r="AF225" s="40" t="n">
        <f aca="false">100*('Perfil e pressupostos'!$F$14*AB225+'Perfil e pressupostos'!$F$15*AC225+'Perfil e pressupostos'!$F$16*AD225+'Perfil e pressupostos'!$F$17*AE225)/'Perfil e pressupostos'!$F$18</f>
        <v>65</v>
      </c>
      <c r="AG225" s="41" t="n">
        <f aca="false">INDEX('Perfil e pressupostos'!$B$25:$B$28,MATCH(V225,'Perfil e pressupostos'!$A$25:$A$28,0))</f>
        <v>0.03</v>
      </c>
      <c r="AH225" s="41" t="n">
        <f aca="false">MIN('Perfil e pressupostos'!$F$29,AG225*('Perfil e pressupostos'!$F$25+'Perfil e pressupostos'!$F$26*AF225/100)*IF(AD225&lt;='Perfil e pressupostos'!$F$28,'Perfil e pressupostos'!$F$27,1))</f>
        <v>0.0354</v>
      </c>
      <c r="AI225" s="35" t="str">
        <f aca="false">IF(AQ225=0,"—",IF(AH225&gt;='Perfil e pressupostos'!$F$30,"Boa",IF(AH225&gt;='Perfil e pressupostos'!$F$31,"Média","Baixa")))</f>
        <v>Média</v>
      </c>
      <c r="AJ225" s="7" t="s">
        <v>1278</v>
      </c>
      <c r="AK225" s="7" t="s">
        <v>540</v>
      </c>
      <c r="AL225" s="35" t="str">
        <f aca="false">IF(AK225="Prazo expirado","Prazo passado",IF(LEFT(AK225,11)="Monitorizar","Monitorizar",IF(Y225&gt;=3.5,"Prioridade",IF(Y225&gt;=3,"Candidatar (reach)","Reserva"))))</f>
        <v>Prioridade</v>
      </c>
      <c r="AM225" s="7" t="s">
        <v>1283</v>
      </c>
      <c r="AN225" s="42" t="s">
        <v>1284</v>
      </c>
      <c r="AO225" s="7" t="s">
        <v>295</v>
      </c>
      <c r="AP225" s="7" t="s">
        <v>215</v>
      </c>
      <c r="AQ225" s="7" t="n">
        <f aca="false">IF(OR(AK225="Prazo expirado",LEFT(AK225,11)="Monitorizar"),0,1)</f>
        <v>1</v>
      </c>
      <c r="AR225" s="41" t="n">
        <f aca="false">IF(AQ225=0,0,AH225)</f>
        <v>0.0354</v>
      </c>
      <c r="AS225" s="41" t="n">
        <f aca="false">AR225*W225/5</f>
        <v>0.03186</v>
      </c>
      <c r="AT225" s="43" t="n">
        <f aca="false">AS225+W225/1000000+(1000-ROW())/1000000000</f>
        <v>0.031865275</v>
      </c>
      <c r="AU225" s="35" t="n">
        <f aca="false">RANK(AT225,$AT$4:$AT$227)</f>
        <v>46</v>
      </c>
      <c r="AV225" s="40" t="n">
        <f aca="false">IF(AQ225=0,"",AF225)</f>
        <v>65</v>
      </c>
      <c r="AW225" s="41" t="n">
        <f aca="false">IF(AQ225=0,"",AH225)</f>
        <v>0.0354</v>
      </c>
    </row>
    <row r="226" customFormat="false" ht="45" hidden="false" customHeight="true" outlineLevel="0" collapsed="false">
      <c r="A226" s="35" t="n">
        <v>223</v>
      </c>
      <c r="B226" s="7" t="s">
        <v>1285</v>
      </c>
      <c r="C226" s="7" t="s">
        <v>1282</v>
      </c>
      <c r="D226" s="7" t="s">
        <v>1276</v>
      </c>
      <c r="E226" s="7" t="s">
        <v>230</v>
      </c>
      <c r="F226" s="35" t="s">
        <v>89</v>
      </c>
      <c r="G226" s="7" t="s">
        <v>311</v>
      </c>
      <c r="H226" s="7" t="s">
        <v>172</v>
      </c>
      <c r="I226" s="7" t="s">
        <v>179</v>
      </c>
      <c r="J226" s="35" t="s">
        <v>207</v>
      </c>
      <c r="K226" s="7" t="s">
        <v>544</v>
      </c>
      <c r="L226" s="7" t="s">
        <v>545</v>
      </c>
      <c r="M226" s="7" t="s">
        <v>576</v>
      </c>
      <c r="N226" s="7" t="s">
        <v>215</v>
      </c>
      <c r="O226" s="7" t="s">
        <v>179</v>
      </c>
      <c r="P226" s="35" t="str">
        <f aca="true">IF(ISNUMBER(O226),O226-TODAY(),"")</f>
        <v/>
      </c>
      <c r="Q226" s="7" t="s">
        <v>179</v>
      </c>
      <c r="R226" s="36" t="n">
        <v>1000</v>
      </c>
      <c r="S226" s="36" t="n">
        <v>1300</v>
      </c>
      <c r="T226" s="37" t="n">
        <f aca="false">IF(R226="","",AVERAGE(R226,S226))</f>
        <v>1150</v>
      </c>
      <c r="U226" s="7" t="s">
        <v>547</v>
      </c>
      <c r="V226" s="38" t="s">
        <v>199</v>
      </c>
      <c r="W226" s="38" t="n">
        <v>4.5</v>
      </c>
      <c r="X226" s="38" t="n">
        <v>1.9</v>
      </c>
      <c r="Y226" s="35" t="n">
        <f aca="false">ROUND(0.6*W226+0.4*X226,1)</f>
        <v>3.5</v>
      </c>
      <c r="Z226" s="38" t="s">
        <v>518</v>
      </c>
      <c r="AA226" s="38" t="n">
        <v>0.3</v>
      </c>
      <c r="AB226" s="39" t="n">
        <f aca="false">1-AA226*(1-INDEX('Perfil e pressupostos'!$C$14:$C$20,MATCH(Z226,'Perfil e pressupostos'!$A$14:$A$20,0)))</f>
        <v>1</v>
      </c>
      <c r="AC226" s="38" t="n">
        <v>0.1</v>
      </c>
      <c r="AD226" s="38" t="n">
        <v>0.8</v>
      </c>
      <c r="AE226" s="38" t="n">
        <v>0.8</v>
      </c>
      <c r="AF226" s="40" t="n">
        <f aca="false">100*('Perfil e pressupostos'!$F$14*AB226+'Perfil e pressupostos'!$F$15*AC226+'Perfil e pressupostos'!$F$16*AD226+'Perfil e pressupostos'!$F$17*AE226)/'Perfil e pressupostos'!$F$18</f>
        <v>65</v>
      </c>
      <c r="AG226" s="41" t="n">
        <f aca="false">INDEX('Perfil e pressupostos'!$B$25:$B$28,MATCH(V226,'Perfil e pressupostos'!$A$25:$A$28,0))</f>
        <v>0.03</v>
      </c>
      <c r="AH226" s="41" t="n">
        <f aca="false">MIN('Perfil e pressupostos'!$F$29,AG226*('Perfil e pressupostos'!$F$25+'Perfil e pressupostos'!$F$26*AF226/100)*IF(AD226&lt;='Perfil e pressupostos'!$F$28,'Perfil e pressupostos'!$F$27,1))</f>
        <v>0.0354</v>
      </c>
      <c r="AI226" s="35" t="str">
        <f aca="false">IF(AQ226=0,"—",IF(AH226&gt;='Perfil e pressupostos'!$F$30,"Boa",IF(AH226&gt;='Perfil e pressupostos'!$F$31,"Média","Baixa")))</f>
        <v>Média</v>
      </c>
      <c r="AJ226" s="7" t="s">
        <v>1278</v>
      </c>
      <c r="AK226" s="7" t="s">
        <v>540</v>
      </c>
      <c r="AL226" s="35" t="str">
        <f aca="false">IF(AK226="Prazo expirado","Prazo passado",IF(LEFT(AK226,11)="Monitorizar","Monitorizar",IF(Y226&gt;=3.5,"Prioridade",IF(Y226&gt;=3,"Candidatar (reach)","Reserva"))))</f>
        <v>Prioridade</v>
      </c>
      <c r="AM226" s="7" t="s">
        <v>1286</v>
      </c>
      <c r="AN226" s="42" t="s">
        <v>1287</v>
      </c>
      <c r="AO226" s="7" t="s">
        <v>295</v>
      </c>
      <c r="AP226" s="7" t="s">
        <v>215</v>
      </c>
      <c r="AQ226" s="7" t="n">
        <f aca="false">IF(OR(AK226="Prazo expirado",LEFT(AK226,11)="Monitorizar"),0,1)</f>
        <v>1</v>
      </c>
      <c r="AR226" s="41" t="n">
        <f aca="false">IF(AQ226=0,0,AH226)</f>
        <v>0.0354</v>
      </c>
      <c r="AS226" s="41" t="n">
        <f aca="false">AR226*W226/5</f>
        <v>0.03186</v>
      </c>
      <c r="AT226" s="43" t="n">
        <f aca="false">AS226+W226/1000000+(1000-ROW())/1000000000</f>
        <v>0.031865274</v>
      </c>
      <c r="AU226" s="35" t="n">
        <f aca="false">RANK(AT226,$AT$4:$AT$227)</f>
        <v>47</v>
      </c>
      <c r="AV226" s="40" t="n">
        <f aca="false">IF(AQ226=0,"",AF226)</f>
        <v>65</v>
      </c>
      <c r="AW226" s="41" t="n">
        <f aca="false">IF(AQ226=0,"",AH226)</f>
        <v>0.0354</v>
      </c>
    </row>
    <row r="227" customFormat="false" ht="45" hidden="false" customHeight="true" outlineLevel="0" collapsed="false">
      <c r="A227" s="35" t="n">
        <v>224</v>
      </c>
      <c r="B227" s="7" t="s">
        <v>1288</v>
      </c>
      <c r="C227" s="7" t="s">
        <v>1289</v>
      </c>
      <c r="D227" s="7" t="s">
        <v>1290</v>
      </c>
      <c r="E227" s="7" t="s">
        <v>418</v>
      </c>
      <c r="F227" s="35" t="s">
        <v>89</v>
      </c>
      <c r="G227" s="7" t="s">
        <v>311</v>
      </c>
      <c r="H227" s="7" t="s">
        <v>172</v>
      </c>
      <c r="I227" s="7" t="s">
        <v>179</v>
      </c>
      <c r="J227" s="35" t="s">
        <v>207</v>
      </c>
      <c r="K227" s="7" t="s">
        <v>544</v>
      </c>
      <c r="L227" s="7" t="s">
        <v>545</v>
      </c>
      <c r="M227" s="7" t="s">
        <v>576</v>
      </c>
      <c r="N227" s="7" t="s">
        <v>215</v>
      </c>
      <c r="O227" s="7" t="s">
        <v>179</v>
      </c>
      <c r="P227" s="35" t="str">
        <f aca="true">IF(ISNUMBER(O227),O227-TODAY(),"")</f>
        <v/>
      </c>
      <c r="Q227" s="7" t="s">
        <v>179</v>
      </c>
      <c r="R227" s="36" t="n">
        <v>1100</v>
      </c>
      <c r="S227" s="36" t="n">
        <v>1500</v>
      </c>
      <c r="T227" s="37" t="n">
        <f aca="false">IF(R227="","",AVERAGE(R227,S227))</f>
        <v>1300</v>
      </c>
      <c r="U227" s="7" t="s">
        <v>547</v>
      </c>
      <c r="V227" s="38" t="s">
        <v>199</v>
      </c>
      <c r="W227" s="38" t="n">
        <v>4</v>
      </c>
      <c r="X227" s="38" t="n">
        <v>1.9</v>
      </c>
      <c r="Y227" s="35" t="n">
        <f aca="false">ROUND(0.6*W227+0.4*X227,1)</f>
        <v>3.2</v>
      </c>
      <c r="Z227" s="38" t="s">
        <v>518</v>
      </c>
      <c r="AA227" s="38" t="n">
        <v>0.3</v>
      </c>
      <c r="AB227" s="39" t="n">
        <f aca="false">1-AA227*(1-INDEX('Perfil e pressupostos'!$C$14:$C$20,MATCH(Z227,'Perfil e pressupostos'!$A$14:$A$20,0)))</f>
        <v>1</v>
      </c>
      <c r="AC227" s="38" t="n">
        <v>0.2</v>
      </c>
      <c r="AD227" s="38" t="n">
        <v>0.7</v>
      </c>
      <c r="AE227" s="38" t="n">
        <v>0.8</v>
      </c>
      <c r="AF227" s="40" t="n">
        <f aca="false">100*('Perfil e pressupostos'!$F$14*AB227+'Perfil e pressupostos'!$F$15*AC227+'Perfil e pressupostos'!$F$16*AD227+'Perfil e pressupostos'!$F$17*AE227)/'Perfil e pressupostos'!$F$18</f>
        <v>65.5</v>
      </c>
      <c r="AG227" s="41" t="n">
        <f aca="false">INDEX('Perfil e pressupostos'!$B$25:$B$28,MATCH(V227,'Perfil e pressupostos'!$A$25:$A$28,0))</f>
        <v>0.03</v>
      </c>
      <c r="AH227" s="41" t="n">
        <f aca="false">MIN('Perfil e pressupostos'!$F$29,AG227*('Perfil e pressupostos'!$F$25+'Perfil e pressupostos'!$F$26*AF227/100)*IF(AD227&lt;='Perfil e pressupostos'!$F$28,'Perfil e pressupostos'!$F$27,1))</f>
        <v>0.03558</v>
      </c>
      <c r="AI227" s="35" t="str">
        <f aca="false">IF(AQ227=0,"—",IF(AH227&gt;='Perfil e pressupostos'!$F$30,"Boa",IF(AH227&gt;='Perfil e pressupostos'!$F$31,"Média","Baixa")))</f>
        <v>Média</v>
      </c>
      <c r="AJ227" s="7" t="s">
        <v>1278</v>
      </c>
      <c r="AK227" s="7" t="s">
        <v>540</v>
      </c>
      <c r="AL227" s="35" t="str">
        <f aca="false">IF(AK227="Prazo expirado","Prazo passado",IF(LEFT(AK227,11)="Monitorizar","Monitorizar",IF(Y227&gt;=3.5,"Prioridade",IF(Y227&gt;=3,"Candidatar (reach)","Reserva"))))</f>
        <v>Candidatar (reach)</v>
      </c>
      <c r="AM227" s="7" t="s">
        <v>1291</v>
      </c>
      <c r="AN227" s="42" t="s">
        <v>1292</v>
      </c>
      <c r="AO227" s="7" t="s">
        <v>295</v>
      </c>
      <c r="AP227" s="7" t="s">
        <v>215</v>
      </c>
      <c r="AQ227" s="7" t="n">
        <f aca="false">IF(OR(AK227="Prazo expirado",LEFT(AK227,11)="Monitorizar"),0,1)</f>
        <v>1</v>
      </c>
      <c r="AR227" s="41" t="n">
        <f aca="false">IF(AQ227=0,0,AH227)</f>
        <v>0.03558</v>
      </c>
      <c r="AS227" s="41" t="n">
        <f aca="false">AR227*W227/5</f>
        <v>0.028464</v>
      </c>
      <c r="AT227" s="43" t="n">
        <f aca="false">AS227+W227/1000000+(1000-ROW())/1000000000</f>
        <v>0.028468773</v>
      </c>
      <c r="AU227" s="35" t="n">
        <f aca="false">RANK(AT227,$AT$4:$AT$227)</f>
        <v>51</v>
      </c>
      <c r="AV227" s="40" t="n">
        <f aca="false">IF(AQ227=0,"",AF227)</f>
        <v>65.5</v>
      </c>
      <c r="AW227" s="41" t="n">
        <f aca="false">IF(AQ227=0,"",AH227)</f>
        <v>0.03558</v>
      </c>
    </row>
  </sheetData>
  <autoFilter ref="A3:AW227"/>
  <conditionalFormatting sqref="AL4:AL227">
    <cfRule type="cellIs" priority="2" operator="equal" aboveAverage="0" equalAverage="0" bottom="0" percent="0" rank="0" text="" dxfId="0">
      <formula>"Prioridade"</formula>
    </cfRule>
    <cfRule type="cellIs" priority="3" operator="equal" aboveAverage="0" equalAverage="0" bottom="0" percent="0" rank="0" text="" dxfId="21">
      <formula>"Candidatar (reach)"</formula>
    </cfRule>
    <cfRule type="cellIs" priority="4" operator="equal" aboveAverage="0" equalAverage="0" bottom="0" percent="0" rank="0" text="" dxfId="22">
      <formula>"Prazo passado"</formula>
    </cfRule>
  </conditionalFormatting>
  <conditionalFormatting sqref="V4:V227">
    <cfRule type="cellIs" priority="5" operator="equal" aboveAverage="0" equalAverage="0" bottom="0" percent="0" rank="0" text="" dxfId="2">
      <formula>"Muito alta"</formula>
    </cfRule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4">
      <formula>"Média-alta"</formula>
    </cfRule>
    <cfRule type="cellIs" priority="8" operator="equal" aboveAverage="0" equalAverage="0" bottom="0" percent="0" rank="0" text="" dxfId="5">
      <formula>"Média"</formula>
    </cfRule>
  </conditionalFormatting>
  <conditionalFormatting sqref="AI4:AI227">
    <cfRule type="cellIs" priority="9" operator="equal" aboveAverage="0" equalAverage="0" bottom="0" percent="0" rank="0" text="" dxfId="0">
      <formula>"Boa"</formula>
    </cfRule>
    <cfRule type="cellIs" priority="10" operator="equal" aboveAverage="0" equalAverage="0" bottom="0" percent="0" rank="0" text="" dxfId="1">
      <formula>"Média"</formula>
    </cfRule>
    <cfRule type="cellIs" priority="11" operator="equal" aboveAverage="0" equalAverage="0" bottom="0" percent="0" rank="0" text="" dxfId="2">
      <formula>"Baixa"</formula>
    </cfRule>
  </conditionalFormatting>
  <conditionalFormatting sqref="AF4:AF227">
    <cfRule type="colorScale" priority="12">
      <colorScale>
        <cfvo type="num" val="20"/>
        <cfvo type="num" val="55"/>
        <cfvo type="num" val="90"/>
        <color rgb="FFF8CBAD"/>
        <color rgb="FFFFEB9C"/>
        <color rgb="FFC6EFCE"/>
      </colorScale>
    </cfRule>
  </conditionalFormatting>
  <dataValidations count="2">
    <dataValidation allowBlank="true" errorStyle="stop" operator="between" showDropDown="false" showErrorMessage="false" showInputMessage="false" sqref="V4:V227" type="list">
      <formula1>"Muito alta,Alta,Média-alta,Média"</formula1>
      <formula2>0</formula2>
    </dataValidation>
    <dataValidation allowBlank="false" errorStyle="stop" operator="between" showDropDown="false" showErrorMessage="false" showInputMessage="false" sqref="Z4:Z227" type="list">
      <formula1>"PT,EN,ES,IT,FR,DE,NL"</formula1>
      <formula2>0</formula2>
    </dataValidation>
  </dataValidations>
  <hyperlinks>
    <hyperlink ref="AN4" r:id="rId2" display="https://www.rothschildandco.com/en/careers/students-and-graduates/opportunities/2027-five-arrows-private-equity-long-term-internship/"/>
    <hyperlink ref="AN5" r:id="rId3" display="https://www.rothschildandco.com/en/careers/students-and-graduates/opportunities/global-advisory-spain-madrid-long-term-internship-6-months-starting-january-or-july-2027/"/>
    <hyperlink ref="AN6" r:id="rId4" display="https://www.rothschildandco.com/en/careers/students-and-graduates/opportunities/ga-stage-transaction-r-co-global-advisory-janviermars-2027/"/>
    <hyperlink ref="AN7" r:id="rId5" display="https://rothschildandco.tal.net/vx/lang-en-GB/mobile-0/appcentre-1/brand-4/candidate/so/pm/1/pl/2/opp/969-Stage-Private-Equity-Investment-Analyst-FAPI-Janvier-Mars-2027/en-GB"/>
    <hyperlink ref="AN8" r:id="rId6" display="https://blackstone.wd1.myworkdayjobs.com/Blackstone_Campus_Careers/job/London/XMLNAME-2027-Blackstone-Private-Equity-Off-Cycle-Internship_45106"/>
    <hyperlink ref="AN9" r:id="rId7" display="https://hl.wd1.myworkdayjobs.com/Campus/job/Paris-France/XMLNAME-6-Month-Off-Cycle-Intern---Capital-Solutions--Secondary-Advisory--January-2027-_R3617"/>
    <hyperlink ref="AN10" r:id="rId8" display="https://hl.wd1.myworkdayjobs.com/Campus/job/Paris-France/Off-Cycle-Internship---Primary-Capital-Advisory--Private-Equity-Fundraising----January-2027_R3598"/>
    <hyperlink ref="AN11" r:id="rId9" display="https://alantra.wd3.myworkdayjobs.com/Alantra/job/Spain---Madrid/Investment-Banking-Off-Cycle-Internship-Programme---January-2027_JR498"/>
    <hyperlink ref="AN12" r:id="rId10" display="https://ikpartners.recruitee.com/o/capital-markets-off-cycle-analyst-2027"/>
    <hyperlink ref="AN13" r:id="rId11" display="https://careers.blackrock.com/job/london/2027-off-cycle-internship-program-emea/45831/97104654800"/>
    <hyperlink ref="AN14" r:id="rId12" display="https://careers.blackrock.com/job/london/2027-off-cycle-internship-program-emea/45831/97104654800"/>
    <hyperlink ref="AN15" r:id="rId13" display="https://www.bnpparibas.pt/en/jobs/investment-banking-trainee-ma-advisory/"/>
    <hyperlink ref="AN16" r:id="rId14" display="https://www.ey.com/pt_pt/careers"/>
    <hyperlink ref="AN17" r:id="rId15" display="https://alantra.wd3.myworkdayjobs.com/Alantra/job/Portugal---Lisbon/Sumer-Intern_JR132"/>
    <hyperlink ref="AN18" r:id="rId16" display="https://inforcapital.com/jobs/ardian-private-equity-buyout-stage-janvier-2027-i-paris-mf/"/>
    <hyperlink ref="AN19" r:id="rId17" display="https://www.jobteaser.com/en/job-offers/6b4351d6-5d6f-4919-9301-8a260372988b-ardian-private-equity-co-investment-stage-janvier-2027-paris-m-f"/>
    <hyperlink ref="AN20" r:id="rId18" display="https://www.jobteaser.com/fr/job-offers/eb1aaf93-15ad-4de7-8761-4ec928254ea6-ardian-private-equity-expansion-stage-janvier-2027-paris-h-f"/>
    <hyperlink ref="AN21" r:id="rId19" display="https://www.studentjob.es/ofertas/8034308-infrastructure-intern-january-2027-madrid-m-f"/>
    <hyperlink ref="AN22" r:id="rId20" display="https://ardian.wd103.myworkdayjobs.com/ArdianCareers/job/Luxembourg/Infrastructure-Intern---Luxembourg---March-2027_JR1002223"/>
    <hyperlink ref="AN23" r:id="rId21" display="https://www.jobteaser.com/fr/job-offers/62c753b2-3cd7-44c8-892b-24806d21c9e5-eurazeo-internship-strategy-and-m-a-paris-s1-2027"/>
    <hyperlink ref="AN24" r:id="rId22" display="https://www.jobteaser.com/fr/job-offers/83c5271d-79e5-47fd-8a3a-68bd45762dcc-eurazeo-internship-private-debt-direct-lending-paris-s1-2027"/>
    <hyperlink ref="AN25" r:id="rId23" display="https://www.eib.org/en/about/careers/categories/traineeships/index"/>
    <hyperlink ref="AN26" r:id="rId24" display="https://jefferies.tal.net/vx/lang-en-GB/mobile-0/appcentre-1/brand-4/candidate/so/pm/1/pl/2/opp/1821-2027-Investment-Banking-Off-Cycle-Internship-Programme-Paris-Generalist-Team-January-start/en-GB"/>
    <hyperlink ref="AN27" r:id="rId25" display="https://jefferies.tal.net/vx/lang-en-GB/mobile-0/appcentre-1/brand-4/candidate/so/pm/1/pl/2/opp/1823-2027-Investment-Banking-Off-Cycle-Internship-Madrid-Country-Coverage-Team-February-August-start/en-GB"/>
    <hyperlink ref="AN28" r:id="rId26" display="https://jefferies.tal.net/vx/lang-en-GB/mobile-0/appcentre-1/brand-4/candidate/so/pm/1/pl/2/opp/1799-2027-Investment-Banking-Off-Cycle-Internship-Programme-VARIOUS-Groups-London-Feb-Start-Date/en-GB"/>
    <hyperlink ref="AN29" r:id="rId27" display="https://higher.gs.com/roles/170844_GS_CAMPUS"/>
    <hyperlink ref="AN30" r:id="rId28" display="https://higher.gs.com/roles/170846_GS_CAMPUS"/>
    <hyperlink ref="AN31" r:id="rId29" display="https://www.kkr.com/careers/student-careers/student-career-opportunities/post?gh_jid=6109396004"/>
    <hyperlink ref="AN32" r:id="rId30" display="https://www.kkr.com/careers/student-careers/student-career-opportunities/post?gh_jid=4777518004"/>
    <hyperlink ref="AN33" r:id="rId31" display="https://jpmc.fa.oraclecloud.com/hcmUI/CandidateExperience/en/sites/CX_1001/job/210739544"/>
    <hyperlink ref="AN34" r:id="rId32" display="https://astorg.pinpointhq.com/en/postings/ff0e8d06-7d85-4ec9-b54c-d521d11bd270"/>
    <hyperlink ref="AN35" r:id="rId33" display="https://job-boards.greenhouse.io/sagardcareers/jobs/4596033005"/>
    <hyperlink ref="AN36" r:id="rId34" display="https://armira-beteiligungen-gmbh-co-kg.jobs.personio.com/job/2573591"/>
    <hyperlink ref="AN37" r:id="rId35" display="https://fyntraq.io/private-equity-internships-europe"/>
    <hyperlink ref="AN38" r:id="rId36" display="https://www.santander.com/en/careers"/>
    <hyperlink ref="AN39" r:id="rId37" display="https://www.santander.com/en/careers"/>
    <hyperlink ref="AN40" r:id="rId38" display="https://www.iefp.pt/estagios"/>
    <hyperlink ref="AN41" r:id="rId39" display="https://ardian.wd103.myworkdayjobs.com/en-US/ArdianCareers/job/Paris/Private-Equity-Buyout-Stage---Mars-2027-I-Paris--M-F-_JR1002149"/>
    <hyperlink ref="AN42" r:id="rId40" display="https://ardian.wd103.myworkdayjobs.com/en-US/ArdianCareers/job/Paris/Private-Equity-Semiconductor-Stage---Mars-2027-I-Paris--H-F-_JR1002229"/>
    <hyperlink ref="AN43" r:id="rId41" display="https://ardian.wd103.myworkdayjobs.com/en-US/ArdianCareers/job/Paris/Private-Equity-Growth-Stage---Mars-2027---Paris--M-F-_JR1002113"/>
    <hyperlink ref="AN44" r:id="rId42" display="https://ardian.wd103.myworkdayjobs.com/en-US/ArdianCareers/job/Paris/Private-Equity-Expansion-Stage---Mars-2027---Paris--H-F-_JR1002080-1"/>
    <hyperlink ref="AN45" r:id="rId43" display="https://ardian.wd103.myworkdayjobs.com/en-US/ArdianCareers/job/Paris/Private-Equity-Real-Estate-Stage---Mars-2027-I-Paris--M-F-_JR1002144"/>
    <hyperlink ref="AN46" r:id="rId44" display="https://www.jobteaser.com/en/job-offers/854a8b76-d6c3-4237-979e-98c5164b7ddc-ardian-private-equity-infrastructure-stage-janvier-2027-paris-h-f"/>
    <hyperlink ref="AN47" r:id="rId45" display="https://ardian.wd103.myworkdayjobs.com/en-US/ArdianCareers/job/Paris/Fund-Finance-Secondaries---Primaries-Stage---Janvier-2027---Paris--M-F-_JR1002110"/>
    <hyperlink ref="AN48" r:id="rId46" display="https://www.jobteaser.com/en/job-offers/8bb69a75-b413-4ebd-aeb8-31c81c8bf237-ardian-private-equity-investor-relations-france-fundraising-sales-stage-janvier-2027-paris-h-f"/>
    <hyperlink ref="AN49" r:id="rId47" display="https://www.jobteaser.com/en/job-offers/f5c868da-0273-42dd-9f74-ae9408f34c59-ardian-investor-relations-client-solution-stage-janvier-2027-i-paris-h-f"/>
    <hyperlink ref="AN50" r:id="rId48" display="https://ardian.wd103.myworkdayjobs.com/en-US/ArdianCareers/job/Zurich/Fund-Finance-Secondaries---Primaries-Intern---February-2027-I-Zurich--M-F-_JR1002246"/>
    <hyperlink ref="AN51" r:id="rId49" display="https://ardian.wd103.myworkdayjobs.com/ArdianCareers/job/Zurich/Investor-Relations-Intern---January-2027-I-Zurich_JR1002219"/>
    <hyperlink ref="AN52" r:id="rId50" display="https://ardian.wd103.myworkdayjobs.com/en-US/ArdianCareers/job/Luxembourg/Corporate-Finance-Intern---January-2027-I-Luxembourg--M-F-_JR1002199"/>
    <hyperlink ref="AN53" r:id="rId51" display="https://ardian.wd103.myworkdayjobs.com/ArdianCareers/job/London/Infrastructure-Intern---January-2027---London_JR1002078"/>
    <hyperlink ref="AN54" r:id="rId52" display="https://ardian.wd103.myworkdayjobs.com/en-US/ArdianCareers/job/Milan/Expansion-Intern---January-2027I-Milan--M-F-_JR1002270"/>
    <hyperlink ref="AN55" r:id="rId53" display="https://ardian.wd103.myworkdayjobs.com/en-US/ArdianCareers/job/Frankfurt/Real-Estate-Private-Equity-Intern---November-2026---Q1-2027----Frankfurt--M-F-_JR1002217"/>
    <hyperlink ref="AN56" r:id="rId54" display="https://www.jobteaser.com/da/job-offers/75296cde-7907-4adb-8903-a4a42ef08e4b-ardian-infrastructure-private-equity-analyst-internship-h1-2027-frankfurt-m-f"/>
    <hyperlink ref="AN57" r:id="rId55" display="https://icbpjb.fa.ocs.oraclecloud.com/hcmUI/CandidateExperience/en/sites/CX_2/job/6533"/>
    <hyperlink ref="AN58" r:id="rId56" display="https://icbpjb.fa.ocs.oraclecloud.com/hcmUI/CandidateExperience/en/sites/CX_2/job/6317"/>
    <hyperlink ref="AN59" r:id="rId57" display="https://www.brightnetwork.co.uk/graduate-jobs/lazard/financial-advisory-off-cycle-internship-2027"/>
    <hyperlink ref="AN60" r:id="rId58" display="https://rothschildandco.wd3.myworkdayjobs.com/en-US/Rothschildandco_Lateral/job/Paris/Stage-Private-Equity-Banque-Prive---Janvier-2027_JR016390"/>
    <hyperlink ref="AN61" r:id="rId59" display="https://rothschildandco.wd3.myworkdayjobs.com/en-US/Rothschildandco_Lateral/job/Paris/Stage-Mandat-Private-Equity-Banque-Prive---Janvier-2027_JR016385"/>
    <hyperlink ref="AN62" r:id="rId60" display="https://rothschildandco.tal.net/vx/lang-en-GB/mobile-0/appcentre-1/brand-4/candidate/so/pm/1/pl/2/opp/974-Stage-d-Analyste-en-Private-Equity-Secondaire-FASO-Janvier-Mars-2027/en-GB"/>
    <hyperlink ref="AN63" r:id="rId61" display="https://www.rothschildandco.com/en/careers/students-and-graduates/opportunities/ga-long-term-internship-sovereign-advisory-janviermars-2027/"/>
    <hyperlink ref="AN64" r:id="rId62" display="https://www.rothschildandco.com/en/careers/students-and-graduates/opportunities/ga-stage-infrastructure-debt-advisory-global-advisory-janvier-2027/"/>
    <hyperlink ref="AN65" r:id="rId63" display="https://www.rothschildandco.com/en/careers/students-and-graduates/opportunities/germany-frankfurt-global-markets-solutions-january-internship-2027/"/>
    <hyperlink ref="AN66" r:id="rId64" display="https://www.rothschildandco.com/en/careers/students-and-graduates/opportunities/2027-uk-global-advisory-off-cycle-internship/"/>
    <hyperlink ref="AN67" r:id="rId65" display="https://www.rothschildandco.com/en/careers/students-and-graduates/opportunities/global-advisory-internship-poland-2027/"/>
    <hyperlink ref="AN68" r:id="rId66" display="https://www.rothschildandco.com/en/careers/experienced-professionals/vacancies/administrative--finance-intern--five-arrows---luxembourg--march-2027/"/>
    <hyperlink ref="AN69" r:id="rId67" display="https://www.efinancialcareers.com/jobs-Luxembourg-Luxembourg-Stage_Fund_Controlling_Luxembourg_-_Janvier_2027_Internship_-_6_months.id24844426"/>
    <hyperlink ref="AN70" r:id="rId68" display="https://www.rothschildandco.com/en/careers/experienced-professionals/vacancies/stage-comptabilite-et-reporting-luxembourg--janvier-2027-internship--6-months/"/>
    <hyperlink ref="AN71" r:id="rId69" display="https://jobs.smartrecruiters.com/revaia/735da8ff-e5a9-4ea8-9d48-b8e156aba2b6"/>
    <hyperlink ref="AN72" r:id="rId70" display="https://jobs.smartrecruiters.com/revaia/31f3abd4-7f54-4eb0-a4e6-74b44df3c2dc"/>
    <hyperlink ref="AN73" r:id="rId71" display="https://job-boards.greenhouse.io/theriversidecompany/jobs/8622619002"/>
    <hyperlink ref="AN74" r:id="rId72" display="https://careers.paipartners.com/o/esg-internship-paris-6-months-starting-january-2027"/>
    <hyperlink ref="AN75" r:id="rId73" display="https://careers.paipartners.com/o/paris-investment-group-internship-6-months-start-in-mar-2027"/>
    <hyperlink ref="AN76" r:id="rId74" display="https://careers.paipartners.com/o/london-investment-group-internship-6-months-h1-27"/>
    <hyperlink ref="AN77" r:id="rId75" display="https://careers.paipartners.com/o/dealcloud-internship-london-6-months"/>
    <hyperlink ref="AN78" r:id="rId76" display="https://careers.paipartners.com/o/esg-internship-london-6-months"/>
    <hyperlink ref="AN79" r:id="rId77" display="https://jobs.partnersgroup.com/job/Baar-6-month-Internship-Private-Equity-Directs%2C-Services/1445897233/"/>
    <hyperlink ref="AN80" r:id="rId78" display="https://www.waterlandpe.com/es/career/3-3-private-equity-internship/"/>
    <hyperlink ref="AN81" r:id="rId79" display="https://jobup.ch/en/jobs/detail/c275324e-e396-44d9-a991-619e609f3260"/>
    <hyperlink ref="AN82" r:id="rId80" display="https://builtinlondon.uk/job/private-equity-cycle-internship-investment-team-capital-partnerships/11450488"/>
    <hyperlink ref="AN83" r:id="rId81" display="https://builtinlondon.uk/job/private-equity-cycle-internship-investment-team-capital-solutions/11450468"/>
    <hyperlink ref="AN84" r:id="rId82" display="https://www.studentjob.co.uk/vacancies/6900059-london-private-equity-off-cycle-internship"/>
    <hyperlink ref="AN85" r:id="rId83" display="https://blackstone.wd1.myworkdayjobs.com/Blackstone_Campus_Careers/job/London/XMLNAME-2027-Blackstone-Strategic-Partners-Off-Cycle-Intern--London-_45297"/>
    <hyperlink ref="AN86" r:id="rId84" display="https://tikehau-capital-career.talentview.io/jobs/ejtlql"/>
    <hyperlink ref="AN87" r:id="rId85" display="https://tikehau-capital-career.talentview.io/jobs/fnm2v5"/>
    <hyperlink ref="AN88" r:id="rId86" display="https://tikehau-capital-career.talentview.io/jobs/mwd8g3"/>
    <hyperlink ref="AN89" r:id="rId87" display="https://tikehau-capital-career.talentview.io/jobs/mqnxyn"/>
    <hyperlink ref="AN90" r:id="rId88" display="https://tikehau-capital-career.talentview.io/jobs/vnedod"/>
    <hyperlink ref="AN91" r:id="rId89" display="https://astorg.pinpointhq.com/en/postings/586c176e-88f8-43e2-9caf-fcb5deeb14aa"/>
    <hyperlink ref="AN92" r:id="rId90" display="https://pru.wd5.myworkdayjobs.com/PGIM_Careers/job/Frankfurt-Germany/PGIM---Intern--Real-Estate-Private-Equity-Portfolio-Management--all-genders--as-of-Q1-2027--Based-in-Frankfurt_R-125016-1"/>
    <hyperlink ref="AN93" r:id="rId91" display="https://ikpartners.recruitee.com/o/off-cycle-analyst-intern-amsterdam"/>
    <hyperlink ref="AN94" r:id="rId92" display="https://www.efinancialcareers.com/jobs-France-Paris-Strategy_Consultant_Internship_-_Private_Equity_-_Paris_-_FH_January_2027.id24426793"/>
    <hyperlink ref="AN95" r:id="rId93" display="https://www.jobteaser.com/en/job-offers/ffd3a556-3ca5-467f-a011-3472bbae11af-oddo-bhf-stage-corporate-development-m-a-janvier-2027"/>
    <hyperlink ref="AN96" r:id="rId94" display="https://barclays.wd3.myworkdayjobs.com/External_Career_Site_Barclays/job/Frankfurt-Taunus-Turm/Capital-Markets-Off-Cycle-Internship-Programme-2027-Frankfurt_JR-0000124472-1"/>
    <hyperlink ref="AN97" r:id="rId95" display="https://barclays.wd3.myworkdayjobs.com/External_Career_Site_Barclays/job/The-Medelan-Building-Milan/Capital-Markets-Off-Cycle-Internship-Programme-2027-Milan_JR-0000124900"/>
    <hyperlink ref="AN98" r:id="rId96" display="https://barclays.wd3.myworkdayjobs.com/External_Career_Site_Barclays/job/Paris-Origami/Capital-Markets-Off-Cycle-Internship-Programme-2027-Paris_JR-0000124479"/>
    <hyperlink ref="AN99" r:id="rId97" display="https://barclays.wd3.myworkdayjobs.com/External_Career_Site_Barclays/job/Stockholm-Katthavet/Capital-Markets-Off-Cycle-Internship-Programme-2027-Stockholm_JR-0000124627"/>
    <hyperlink ref="AN100" r:id="rId98" display="https://barclays.wd3.myworkdayjobs.com/External_Career_Site_Barclays/job/Paris-52-avenue-Hoche/Banking-Off-Cycle-Internship-Programme-2027-Paris_JR-0000124856"/>
    <hyperlink ref="AN101" r:id="rId99" display="https://barclays.wd3.myworkdayjobs.com/External_Career_Site_Barclays/job/Frankfurt-Taunus-Turm/Banking-Off-Cycle-Internship-Programme-2027-Frankfurt_JR-0000124702-1"/>
    <hyperlink ref="AN102" r:id="rId100" display="https://barclays.wd3.myworkdayjobs.com/External_Career_Site_Barclays/job/Amsterdam-SOM-Building/Banking-Off-Cycle-Internship-Programme-2027-Amsterdam_JR-0000124409"/>
    <hyperlink ref="AN103" r:id="rId101" display="https://barclays.wd3.myworkdayjobs.com/External_Career_Site_Barclays/job/Frankfurt-Taunus-Turm/International-Corporate-Banking-Off-Cycle-Internship-Programme-2027-Frankfurt_JR-0000124063-1"/>
    <hyperlink ref="AN104" r:id="rId102" display="https://barclays.wd3.myworkdayjobs.com/External_Career_Site_Barclays/job/Paris-52-avenue-Hoche/Quantitative-Analytics-Associate-Off-Cycle-Internship-Programme-2027-Paris_JR-0000124726"/>
    <hyperlink ref="AN105" r:id="rId103" display="https://www.evercore.com/careers/students-graduates/"/>
    <hyperlink ref="AN106" r:id="rId104" display="https://evercore.tal.net/vx/lang-en-GB/mobile-0/channel-1/appcentre-1/brand-6/candidate/so/pm/1/pl/2/opp/3084-Madrid-Off-Cycle-Internship-Jan-June-2027/en-GB"/>
    <hyperlink ref="AN107" r:id="rId105" display="https://evercore.tal.net/vx/lang-en-GB/mobile-0/channel-1/appcentre-1/brand-6/candidate/so/pm/1/pl/2/opp/3293-Milan-Off-Cycle-Internship-Generalist-Team-January-June-2027/en-GB"/>
    <hyperlink ref="AN108" r:id="rId106" display="https://higher.gs.com/roles/174854_GS_CAMPUS"/>
    <hyperlink ref="AN109" r:id="rId107" display="https://higher.gs.com/roles/166820_GS_CAMPUS"/>
    <hyperlink ref="AN110" r:id="rId108" display="https://higher.gs.com/roles/165357_GS_CAMPUS"/>
    <hyperlink ref="AN111" r:id="rId109" display="https://higher.gs.com/roles/183954_GS_CAMPUS"/>
    <hyperlink ref="AN112" r:id="rId110" display="https://higher.gs.com/roles/170877_GS_CAMPUS"/>
    <hyperlink ref="AN113" r:id="rId111" display="https://higher.gs.com/roles/184906_GS_CAMPUS"/>
    <hyperlink ref="AN114" r:id="rId112" display="https://higher.gs.com/roles/170840_GS_CAMPUS"/>
    <hyperlink ref="AN115" r:id="rId113" display="https://higher.gs.com/roles/170835_GS_CAMPUS"/>
    <hyperlink ref="AN116" r:id="rId114" display="https://higher.gs.com/roles/170857_GS_CAMPUS"/>
    <hyperlink ref="AN117" r:id="rId115" display="https://higher.gs.com/roles/170841_GS_CAMPUS"/>
    <hyperlink ref="AN118" r:id="rId116" display="https://higher.gs.com/roles/170908_GS_CAMPUS"/>
    <hyperlink ref="AN119" r:id="rId117" display="https://higher.gs.com/roles/170905_GS_CAMPUS"/>
    <hyperlink ref="AN120" r:id="rId118" display="https://higher.gs.com/roles/170838_GS_CAMPUS"/>
    <hyperlink ref="AN121" r:id="rId119" display="https://higher.gs.com/roles/170833_GS_CAMPUS"/>
    <hyperlink ref="AN122" r:id="rId120" display="https://higher.gs.com/roles/175429_GS_CAMPUS"/>
    <hyperlink ref="AN123" r:id="rId121" display="https://higher.gs.com/roles/175430_GS_CAMPUS"/>
    <hyperlink ref="AN124" r:id="rId122" display="https://hl.wd1.myworkdayjobs.com/Campus/job/Paris-France/XMLNAME-6-Month-Off-Cycle-Internship---Corporate-Finance--M-A-_R3334"/>
    <hyperlink ref="AN125" r:id="rId123" display="https://hl.wd1.myworkdayjobs.com/Campus/job/Paris-France/XMLNAME-6-month-Internship----Sovereign-Advisory--Financial-Restructuring-Group_R3217-1"/>
    <hyperlink ref="AN126" r:id="rId124" display="https://hl.wd1.myworkdayjobs.com/Campus/job/Stockholm-Sweden/XMLNAME-6-Month-Off-Cycle-Internship---Corporate-Finance_R3600"/>
    <hyperlink ref="AN127" r:id="rId125" display="https://hl.wd1.myworkdayjobs.com/Campus/job/Amsterdam-Netherlands/XMLNAME-3-Month-Off-Cycle-Internship---Corporate-Finance_R3560"/>
    <hyperlink ref="AN128" r:id="rId126" display="https://hl.wd1.myworkdayjobs.com/Campus/job/Zurich-Switzerland/XMLNAME-2027-Corporate-Finance-Internship--4-6-Months----Zurich_R3626"/>
    <hyperlink ref="AN129" r:id="rId127" display="https://carlsquare-gmbh.jobs.personio.de/job/2660914"/>
    <hyperlink ref="AN130" r:id="rId128" display="https://carlsquare-gmbh.jobs.personio.de/job/2827292"/>
    <hyperlink ref="AN131" r:id="rId129" display="https://www.mizuhogroup.com/emea/careers/investment-banking-careers/internship-programme"/>
    <hyperlink ref="AN132" r:id="rId130" display="https://jobs.ubs.com/TGnewUI/Search/home/HomeWithPreLoad?partnerid=25008&amp;siteid=5131&amp;PageType=searchResults&amp;keywords=off-cycle%20asset%20management"/>
    <hyperlink ref="AN133" r:id="rId131" display="https://jobs.ubs.com/TGnewUI/Search/home/HomeWithPreLoad?partnerid=25008&amp;siteid=5131&amp;PageType=searchResults&amp;keywords=off-cycle%20investment%20banking%20london"/>
    <hyperlink ref="AN134" r:id="rId132" display="https://jobs.ubs.com/TGnewUI/Search/home/HomeWithPreLoad?partnerid=25008&amp;siteid=5131&amp;PageType=searchResults&amp;keywords=off-cycle%20banking%20zurich"/>
    <hyperlink ref="AN135" r:id="rId133" display="https://www.wellsfargojobs.com/en/early-careers/"/>
    <hyperlink ref="AN136" r:id="rId134" display="https://pipersandler.wd501.myworkdayjobs.com/Piper_Sandler_Careers/job/London/Off-Cycle-Internship-Programme_R-100727"/>
    <hyperlink ref="AN137" r:id="rId135" display="https://bbva.wd3.myworkdayjobs.com/BBVA/job/28050-MADRID-Madrid/Beca-Off-cycle-M-A-CIB_JR00115430"/>
    <hyperlink ref="AN138" r:id="rId136" display="https://mediobanca.intervieweb.it/jobs/mediobanca-spain-offcycle-internship-investment-banking-ma-2283/en/"/>
    <hyperlink ref="AN139" r:id="rId137" display="https://mediobanca.intervieweb.it/jobs/offcycle-internship-dcm-financing-1731/en/"/>
    <hyperlink ref="AN140" r:id="rId138" display="https://www.efinancialcareers.com/jobs-France-Paris-Off-Cycle_Internship_MA_advisory_January_and_March_2027.id24463049"/>
    <hyperlink ref="AN141" r:id="rId139" display="https://www.efinancialcareers.com/jobs-France-Paris-2027_Off-Cycle_Internship_Infrastructure_Real_Assets.id24695742"/>
    <hyperlink ref="AN142" r:id="rId140" display="https://www.efinancialcareers.com/jobs-Germany-Frankfurt_am_Main-Off-Cycle_Internship_Coverage_and_Solutions_2027.id24736095"/>
    <hyperlink ref="AN143" r:id="rId141" display="https://www.efinancialcareers.com/jobs-France-Paris-2027_Global_Corporate_Banking_-_Mid-Cap_-_Off-Cycle_Internship_Program_-_Paris.id24344368"/>
    <hyperlink ref="AN144" r:id="rId142" display="https://www.efinancialcareers.com/jobs-Switzerland-Zurich-2027_Global_Corporate_Banking_-_Mid-Cap_-_Off-Cycle_Internship_Program_-_Zurich.id24343803"/>
    <hyperlink ref="AN145" r:id="rId143" display="http://www.lincolninternational.com/greenhouse/?gh_jid=8156739"/>
    <hyperlink ref="AN146" r:id="rId144" display="http://www.lincolninternational.com/greenhouse/?gh_jid=8255813"/>
    <hyperlink ref="AN147" r:id="rId145" display="https://mufgub.wd3.myworkdayjobs.com/MUFG-Careers/job/Paris/XMLNAME-6-month-internship---Debt-Capital-Markets-Bonds---Loans---January-2027_10080029-WD"/>
    <hyperlink ref="AN148" r:id="rId146" display="https://mufgub.wd3.myworkdayjobs.com/MUFG-Careers/job/Amsterdam/XMLNAME-2027-MUFG-6-month-Amsterdam-internship--Japanese-Corporate-Banking-Division_10079926-WD"/>
    <hyperlink ref="AN149" r:id="rId147" display="https://home.cib.natixis.com/shape-your-career"/>
    <hyperlink ref="AN150" r:id="rId148" display="https://www.efinancialcareers.com/jobs-France-Paris-Internship_-_Junior_Financial_Analyst_Janvier_2027.id24746352"/>
    <hyperlink ref="AN151" r:id="rId149" display="https://citi.wd5.myworkdayjobs.com/2/job/Amsterdam--Netherlands/Banking--Corporate-Banking--Placement-Analyst--Amsterdam---The-Netherlands--2027--January--June-Start-_26994569"/>
    <hyperlink ref="AN152" r:id="rId150" display="https://citi.wd5.myworkdayjobs.com/2/job/Zurich--Switzerland/Banking--Investment-Banking--Placement-Analyst--Zurich--Switzerland-2027---January-Intake_26997502"/>
    <hyperlink ref="AN153" r:id="rId151" display="https://jefferies.tal.net/vx/lang-en-GB/mobile-0/appcentre-1/brand-4/candidate/so/pm/1/pl/2/opp/1952-2027-Investment-Banking-Off-Cycle-Internship-Zurich-Q1/en-GB"/>
    <hyperlink ref="AN154" r:id="rId152" display="https://jefferies.tal.net/vx/lang-en-GB/mobile-0/appcentre-1/brand-4/candidate/so/pm/1/pl/2/opp/2010-2027-Investment-Banking-Off-Cycle-Internship-Milan-Q1-February-Start/en-GB"/>
    <hyperlink ref="AN155" r:id="rId153" display="https://alantra.wd3.myworkdayjobs.com/Alantra/job/Germany---Frankfurt/Investment-Banking--Q1-2027-M-A-Intern--Frankfurt--Germany-_JR466"/>
    <hyperlink ref="AN156" r:id="rId154" display="https://www.kkr.com/careers/student-careers/student-career-opportunities/post?gh_jid=6219494004"/>
    <hyperlink ref="AN157" r:id="rId155" display="https://www.jobteaser.com/en/job-offers/bcdc6a5a-c417-4d04-b6a7-80907ed2eded-eurazeo-internship-infrastructure-paris-s1-2027"/>
    <hyperlink ref="AN158" r:id="rId156" display="https://www.jobteaser.com/en/job-offers/8d4f900c-5368-4dea-a2e1-f4d5097496d7-eurazeo-internship-growth-paris-s1-2027"/>
    <hyperlink ref="AN159" r:id="rId157" display="https://www.jobteaser.com/en/job-offers/3c174f2f-49a6-4fa7-a9dc-317fcdc64d45-eurazeo-internship-investor-relations-direct-transactions-paris-s1-2027"/>
    <hyperlink ref="AN160" r:id="rId158" display="https://www.jobteaser.com/en/job-offers/79262d72-3ffe-4f23-b650-39262a17e5ab-eurazeo-stage-real-estate-paris-s1-2027"/>
    <hyperlink ref="AN161" r:id="rId159" display="https://group.bnpparibas/en/careers/job-offer/trainee-fixed-income-analyst"/>
    <hyperlink ref="AN162" r:id="rId160" display="https://group.bnpparibas/en/careers/job-offer/financial-international-markets-trainee"/>
    <hyperlink ref="AN163" r:id="rId161" display="https://accenture.wd103.myworkdayjobs.com/AccentureCareers/job/Lisbon/Consulting-Graduate-Programme---January-2027_R00359243"/>
    <hyperlink ref="AN164" r:id="rId162" display="https://eyglobal.yello.co/jobs/jBhzN3GbGmjPCRf1aQIYwA?job_board_id=c1riT--B2O-KySgYWsZO1Q&amp;locale=fr"/>
    <hyperlink ref="AN165" r:id="rId163" display="https://mastercard.wd1.myworkdayjobs.com/CorporateCareers/job/Lisbon-Portugal/Global-Markets--Graduate-Launch-Program-2027---Lisbon--Portugal_R-287705-2"/>
    <hyperlink ref="AN166" r:id="rId164" display="https://careers.jeronimomartins.com/job/Lisboa-Programa-de-Trainees-2027-1649-033/1369534955/"/>
    <hyperlink ref="AN167" r:id="rId165" display="https://www.ccep.jobs/pt/vaga/-/-/1299/45312633152"/>
    <hyperlink ref="AN168" r:id="rId166" display="https://www.cp.pt/info/w/institucional/recrutamento-cp-trainup"/>
    <hyperlink ref="AN169" r:id="rId167" display="https://trainees.pt/tap/"/>
    <hyperlink ref="AN170" r:id="rId168" display="https://auchanportugal.wd3.myworkdayjobs.com/pt-BR/auchan-retail/job/Grande-Lisboa/Empower-Trainee-Program---Grande-Lisboa_ID-26219"/>
    <hyperlink ref="AN171" r:id="rId169" display="https://www.astrazeneca.pt/programa-de-trainees-life-changers.html"/>
    <hyperlink ref="AN172" r:id="rId170" display="https://carreiras.sumolcompal.pt/content/Programas-de-Estagio/?locale=pt_PT"/>
    <hyperlink ref="AN173" r:id="rId171" display="https://www.iagora.com/work/en/offer/internship-portugal-management/6450046"/>
    <hyperlink ref="AN174" r:id="rId172" display="https://recrutamento.cgd.pt/job/Trainee-Mercados-Financeiros/1373073557/"/>
    <hyperlink ref="AN175" r:id="rId173" display="https://www.linkedin.com/jobs/view/4471754745"/>
    <hyperlink ref="AN176" r:id="rId174" display="https://santander.wd3.myworkdayjobs.com/SantanderCareers/job/Estgio---rea-de-Universidades--Evergreen-_Req1588277"/>
    <hyperlink ref="AN177" r:id="rId175" display="https://santander.wd3.myworkdayjobs.com/en-US/SantanderCareers/job/Lisboa/Estgio-Comunicao---Gesto-de-Projetos-de-Experincia_Req1598724"/>
    <hyperlink ref="AN178" r:id="rId176" display="https://www.iagora.com/work/en/offer/internship-portugal-government/6197237"/>
    <hyperlink ref="AN179" r:id="rId177" display="https://www.iagora.com/work/en/offer/internship-portugal-finance/6221721"/>
    <hyperlink ref="AN180" r:id="rId178" display="https://group.bnpparibas/en/careers/job-offer/strategy-and-strategic-investments-trainee"/>
    <hyperlink ref="AN181" r:id="rId179" display="https://group.bnpparibas/en/careers/job-offer/financial-resources-analytics-intern"/>
    <hyperlink ref="AN182" r:id="rId180" display="https://bpi.programatrainees.pt/"/>
    <hyperlink ref="AN183" r:id="rId181" display="https://jobs.deloitte.pt/talentcommunity/apply/1369382655/?locale=pt_PT"/>
    <hyperlink ref="AN184" r:id="rId182" display="https://jobs.deloitte.pt/job/Lisboa-Candidatura-Espont%C3%A2nea/1353167355/"/>
    <hyperlink ref="AN185" r:id="rId183" display="https://kpmg.com/pt/pt/carreiras/estagios.html"/>
    <hyperlink ref="AN186" r:id="rId184" display="https://www.pwc.pt/pt/carreiras/recrutamento-anual.html"/>
    <hyperlink ref="AN187" r:id="rId185" display="https://eyglobal.yello.co/job_boards/c1riT--B2O-KySgYWsZO1Q?locale=en"/>
    <hyperlink ref="AN188" r:id="rId186" display="https://eygbl.referrals.selectminds.com/jobs/est%C3%A1gios-confirmation-team-lisboa-e-viseu-126148"/>
    <hyperlink ref="AN189" r:id="rId187" display="https://www.iagora.com/work/en/offer/internship-portugal-finance/6489576"/>
    <hyperlink ref="AN190" r:id="rId188" display="https://www.iagora.com/work/en/offer/internship-portugal-finance/6483970"/>
    <hyperlink ref="AN191" r:id="rId189" display="https://www.iagora.com/work/en/offer/internship-portugal-finance/6481443"/>
    <hyperlink ref="AN192" r:id="rId190" display="https://www.euronext.com/en/about/careers/early-careers-euronext"/>
    <hyperlink ref="AN193" r:id="rId191" display="https://www.iagora.com/work/en/offer/VIE-portugal-finance/6499059"/>
    <hyperlink ref="AN194" r:id="rId192" display="https://www.iagora.com/work/en/offer/VIE-portugal-finance/6438503"/>
    <hyperlink ref="AN195" r:id="rId193" display="https://www.iagora.com/work/en/offer/internship-portugal-finance/6390557"/>
    <hyperlink ref="AN196" r:id="rId194" display="https://www.iagora.com/work/en/offer/internship-portugal-finance/6410318"/>
    <hyperlink ref="AN197" r:id="rId195" display="https://www.iagora.com/work/en/offer/internship-portugal-finance/6438579"/>
    <hyperlink ref="AN198" r:id="rId196" display="https://www.iagora.com/work/en/offer/internship-portugal-finance/6400205"/>
    <hyperlink ref="AN199" r:id="rId197" display="https://www.iagora.com/work/en/offer/internship-portugal-finance/6482687"/>
    <hyperlink ref="AN200" r:id="rId198" display="https://www.iagora.com/work/en/offer/internship-portugal-finance/6466486"/>
    <hyperlink ref="AN201" r:id="rId199" display="https://www.iagora.com/work/en/offer/internship-portugal-finance/6409011"/>
    <hyperlink ref="AN202" r:id="rId200" display="https://www.iagora.com/work/en/offer/internship-portugal-finance/6447427"/>
    <hyperlink ref="AN203" r:id="rId201" display="https://estagiar.pt/unlocker-junior-controller/"/>
    <hyperlink ref="AN204" r:id="rId202" display="https://estagiar.pt/unlocker-trainee-analista-de-pricing/"/>
    <hyperlink ref="AN205" r:id="rId203" display="https://recrutamento.cofidis.pt/pt/next-generation/generation-pro-2026.html"/>
    <hyperlink ref="AN206" r:id="rId204" display="https://talentojovem.com/fidelidade/"/>
    <hyperlink ref="AN207" r:id="rId205" display="https://www.generalitranquilidade.pt/generali-tranquilidade/recursos-humanos/programas-talento-jovem"/>
    <hyperlink ref="AN208" r:id="rId206" display="https://wewantyou.pt/"/>
    <hyperlink ref="AN209" r:id="rId207" display="https://www.forvismazars.com/pt/en/join-us/job-offers/talent-graduate-2026"/>
    <hyperlink ref="AN210" r:id="rId208" display="https://bdo-portugal.factorialhr.pt/job_posting/trainees-setembro-2026-294658"/>
    <hyperlink ref="AN211" r:id="rId209" display="https://www.bakertilly.pt/careers"/>
    <hyperlink ref="AN212" r:id="rId210" display="https://trainees.pt/novobanco/"/>
    <hyperlink ref="AN213" r:id="rId211" display="https://bpi.programatrainees.pt/"/>
    <hyperlink ref="AN214" r:id="rId212" display="https://www.creditoagricola.pt/institucional/recursos-humanos/candidaturas-ca-educa-2026"/>
    <hyperlink ref="AN215" r:id="rId213" display="https://edp.com/pt/carreiras/oportunidades-de-emprego/iniciar-a-carreira/edp-global-graduate-program"/>
    <hyperlink ref="AN216" r:id="rId214" display="https://www.galp.com/corp/pt/pessoas/talento-jovem/generation-galp"/>
    <hyperlink ref="AN217" r:id="rId215" display="https://talentportugal.com/programa-de-trainees/vodafone-futurered/"/>
    <hyperlink ref="AN218" r:id="rId216" display="https://talentportugal.com/programa-de-trainees/ctt-programa-de-trainees-2026/"/>
    <hyperlink ref="AN219" r:id="rId217" display="https://estagiar.pt/bnp-paribas-personal-finance-abre-candidaturas-para-nova-edicao-do-rising-talents/"/>
    <hyperlink ref="AN220" r:id="rId218" display="https://www.dhl.com/pt-pt/home/cadeia-de-fornecimento/sobre-nos/carreiras-na-cadeia-de-abastecimento-dhl/oportunidades-de-carreira-na-cadeia-de-abastecimento-dhl.html"/>
    <hyperlink ref="AN221" r:id="rId219" display="https://builtin.com/job/finance-intern-trainee/11618695"/>
    <hyperlink ref="AN222" r:id="rId220" display="https://builtin.com/job/finance-internship/11572716"/>
    <hyperlink ref="AN223" r:id="rId221" display="https://careers.feedzai.com/job_description?gh_jid=8223376"/>
    <hyperlink ref="AN224" r:id="rId222" display="https://www.portugalventures.pt/"/>
    <hyperlink ref="AN225" r:id="rId223" display="https://www.armilar.com/contact"/>
    <hyperlink ref="AN226" r:id="rId224" display="https://www.indicocapital.com/contacts"/>
    <hyperlink ref="AN227" r:id="rId225" display="https://www.bpfomento.pt/pt/bolsa-de-emprego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26"/>
  <legacyDrawing r:id="rId22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46"/>
    <col collapsed="false" customWidth="true" hidden="false" outlineLevel="0" max="6" min="6" style="1" width="10"/>
    <col collapsed="false" customWidth="true" hidden="false" outlineLevel="0" max="8" min="7" style="1" width="4"/>
  </cols>
  <sheetData>
    <row r="1" customFormat="false" ht="17.25" hidden="false" customHeight="true" outlineLevel="0" collapsed="false">
      <c r="A1" s="21" t="s">
        <v>1293</v>
      </c>
    </row>
    <row r="2" customFormat="false" ht="14.25" hidden="false" customHeight="true" outlineLevel="0" collapsed="false">
      <c r="A2" s="22" t="s">
        <v>1294</v>
      </c>
    </row>
    <row r="4" customFormat="false" ht="39.75" hidden="false" customHeight="true" outlineLevel="0" collapsed="false">
      <c r="A4" s="20" t="s">
        <v>1295</v>
      </c>
      <c r="B4" s="20"/>
      <c r="C4" s="20"/>
      <c r="D4" s="20"/>
      <c r="E4" s="20"/>
      <c r="F4" s="20"/>
      <c r="G4" s="20"/>
      <c r="H4" s="20"/>
    </row>
    <row r="5" customFormat="false" ht="39.75" hidden="false" customHeight="true" outlineLevel="0" collapsed="false">
      <c r="A5" s="20" t="s">
        <v>1296</v>
      </c>
      <c r="B5" s="20"/>
      <c r="C5" s="20"/>
      <c r="D5" s="20"/>
      <c r="E5" s="20"/>
      <c r="F5" s="20"/>
      <c r="G5" s="20"/>
      <c r="H5" s="20"/>
    </row>
    <row r="6" customFormat="false" ht="39.75" hidden="false" customHeight="true" outlineLevel="0" collapsed="false">
      <c r="A6" s="20" t="s">
        <v>1297</v>
      </c>
      <c r="B6" s="20"/>
      <c r="C6" s="20"/>
      <c r="D6" s="20"/>
      <c r="E6" s="20"/>
      <c r="F6" s="20"/>
      <c r="G6" s="20"/>
      <c r="H6" s="20"/>
    </row>
    <row r="7" customFormat="false" ht="39.75" hidden="false" customHeight="true" outlineLevel="0" collapsed="false">
      <c r="A7" s="20" t="s">
        <v>1298</v>
      </c>
      <c r="B7" s="20"/>
      <c r="C7" s="20"/>
      <c r="D7" s="20"/>
      <c r="E7" s="20"/>
      <c r="F7" s="20"/>
      <c r="G7" s="20"/>
      <c r="H7" s="20"/>
    </row>
    <row r="12" customFormat="false" ht="14.25" hidden="false" customHeight="true" outlineLevel="0" collapsed="false">
      <c r="A12" s="45" t="s">
        <v>1299</v>
      </c>
      <c r="E12" s="45" t="s">
        <v>1300</v>
      </c>
    </row>
    <row r="13" customFormat="false" ht="14.25" hidden="false" customHeight="true" outlineLevel="0" collapsed="false">
      <c r="A13" s="46" t="s">
        <v>1301</v>
      </c>
      <c r="B13" s="46" t="s">
        <v>1302</v>
      </c>
      <c r="C13" s="46" t="s">
        <v>1303</v>
      </c>
      <c r="E13" s="46" t="s">
        <v>1304</v>
      </c>
      <c r="F13" s="46" t="s">
        <v>1305</v>
      </c>
    </row>
    <row r="14" customFormat="false" ht="14.25" hidden="false" customHeight="true" outlineLevel="0" collapsed="false">
      <c r="A14" s="10" t="s">
        <v>518</v>
      </c>
      <c r="B14" s="10" t="s">
        <v>525</v>
      </c>
      <c r="C14" s="47" t="n">
        <v>1</v>
      </c>
      <c r="E14" s="10" t="s">
        <v>1306</v>
      </c>
      <c r="F14" s="48" t="n">
        <v>0.3</v>
      </c>
    </row>
    <row r="15" customFormat="false" ht="14.25" hidden="false" customHeight="true" outlineLevel="0" collapsed="false">
      <c r="A15" s="10" t="s">
        <v>182</v>
      </c>
      <c r="B15" s="10" t="s">
        <v>177</v>
      </c>
      <c r="C15" s="47" t="n">
        <v>0.95</v>
      </c>
      <c r="E15" s="10" t="s">
        <v>1307</v>
      </c>
      <c r="F15" s="48" t="n">
        <v>0.3</v>
      </c>
    </row>
    <row r="16" customFormat="false" ht="14.25" hidden="false" customHeight="true" outlineLevel="0" collapsed="false">
      <c r="A16" s="10" t="s">
        <v>200</v>
      </c>
      <c r="B16" s="10" t="s">
        <v>1308</v>
      </c>
      <c r="C16" s="47" t="n">
        <v>0.3</v>
      </c>
      <c r="E16" s="10" t="s">
        <v>1309</v>
      </c>
      <c r="F16" s="48" t="n">
        <v>0.25</v>
      </c>
    </row>
    <row r="17" customFormat="false" ht="14.25" hidden="false" customHeight="true" outlineLevel="0" collapsed="false">
      <c r="A17" s="10" t="s">
        <v>591</v>
      </c>
      <c r="B17" s="10" t="s">
        <v>1310</v>
      </c>
      <c r="C17" s="47" t="n">
        <v>0.3</v>
      </c>
      <c r="E17" s="10" t="s">
        <v>1311</v>
      </c>
      <c r="F17" s="48" t="n">
        <v>0.15</v>
      </c>
    </row>
    <row r="18" customFormat="false" ht="14.25" hidden="false" customHeight="true" outlineLevel="0" collapsed="false">
      <c r="A18" s="10" t="s">
        <v>213</v>
      </c>
      <c r="B18" s="10" t="s">
        <v>1312</v>
      </c>
      <c r="C18" s="47" t="n">
        <v>0.05</v>
      </c>
      <c r="E18" s="49" t="s">
        <v>1313</v>
      </c>
      <c r="F18" s="50" t="n">
        <f aca="false">SUM(F14:F17)</f>
        <v>1</v>
      </c>
    </row>
    <row r="19" customFormat="false" ht="14.25" hidden="false" customHeight="true" outlineLevel="0" collapsed="false">
      <c r="A19" s="10" t="s">
        <v>304</v>
      </c>
      <c r="B19" s="10" t="s">
        <v>1314</v>
      </c>
      <c r="C19" s="47" t="n">
        <v>0.05</v>
      </c>
    </row>
    <row r="20" customFormat="false" ht="14.25" hidden="false" customHeight="true" outlineLevel="0" collapsed="false">
      <c r="A20" s="10" t="s">
        <v>737</v>
      </c>
      <c r="B20" s="10" t="s">
        <v>1315</v>
      </c>
      <c r="C20" s="47" t="n">
        <v>0</v>
      </c>
    </row>
    <row r="23" customFormat="false" ht="14.25" hidden="false" customHeight="true" outlineLevel="0" collapsed="false">
      <c r="A23" s="45" t="s">
        <v>1316</v>
      </c>
      <c r="E23" s="45" t="s">
        <v>1317</v>
      </c>
    </row>
    <row r="24" customFormat="false" ht="24" hidden="false" customHeight="true" outlineLevel="0" collapsed="false">
      <c r="A24" s="46" t="s">
        <v>105</v>
      </c>
      <c r="B24" s="46" t="s">
        <v>1318</v>
      </c>
      <c r="E24" s="46" t="s">
        <v>1319</v>
      </c>
      <c r="F24" s="46" t="s">
        <v>1320</v>
      </c>
    </row>
    <row r="25" customFormat="false" ht="14.25" hidden="false" customHeight="true" outlineLevel="0" collapsed="false">
      <c r="A25" s="10" t="s">
        <v>181</v>
      </c>
      <c r="B25" s="51" t="n">
        <v>0.01</v>
      </c>
      <c r="E25" s="10" t="s">
        <v>1321</v>
      </c>
      <c r="F25" s="52" t="n">
        <v>0.4</v>
      </c>
    </row>
    <row r="26" customFormat="false" ht="14.25" hidden="false" customHeight="true" outlineLevel="0" collapsed="false">
      <c r="A26" s="10" t="s">
        <v>199</v>
      </c>
      <c r="B26" s="51" t="n">
        <v>0.03</v>
      </c>
      <c r="E26" s="10" t="s">
        <v>1322</v>
      </c>
      <c r="F26" s="52" t="n">
        <v>1.2</v>
      </c>
    </row>
    <row r="27" customFormat="false" ht="14.25" hidden="false" customHeight="true" outlineLevel="0" collapsed="false">
      <c r="A27" s="10" t="s">
        <v>318</v>
      </c>
      <c r="B27" s="51" t="n">
        <v>0.08</v>
      </c>
      <c r="E27" s="10" t="s">
        <v>1323</v>
      </c>
      <c r="F27" s="52" t="n">
        <v>0.1</v>
      </c>
    </row>
    <row r="28" customFormat="false" ht="14.25" hidden="false" customHeight="true" outlineLevel="0" collapsed="false">
      <c r="A28" s="10" t="s">
        <v>517</v>
      </c>
      <c r="B28" s="51" t="n">
        <v>0.12</v>
      </c>
      <c r="E28" s="10" t="s">
        <v>1324</v>
      </c>
      <c r="F28" s="52" t="n">
        <v>0.1</v>
      </c>
    </row>
    <row r="29" customFormat="false" ht="14.25" hidden="false" customHeight="true" outlineLevel="0" collapsed="false">
      <c r="E29" s="10" t="s">
        <v>1325</v>
      </c>
      <c r="F29" s="48" t="n">
        <v>0.5</v>
      </c>
    </row>
    <row r="30" customFormat="false" ht="14.25" hidden="false" customHeight="true" outlineLevel="0" collapsed="false">
      <c r="E30" s="10" t="s">
        <v>1326</v>
      </c>
      <c r="F30" s="48" t="n">
        <v>0.08</v>
      </c>
    </row>
    <row r="31" customFormat="false" ht="14.25" hidden="false" customHeight="true" outlineLevel="0" collapsed="false">
      <c r="E31" s="10" t="s">
        <v>1327</v>
      </c>
      <c r="F31" s="48" t="n">
        <v>0.03</v>
      </c>
    </row>
    <row r="32" customFormat="false" ht="14.25" hidden="false" customHeight="true" outlineLevel="0" collapsed="false">
      <c r="E32" s="10" t="s">
        <v>1328</v>
      </c>
      <c r="F32" s="52" t="n">
        <v>0.5</v>
      </c>
    </row>
    <row r="33" customFormat="false" ht="14.25" hidden="false" customHeight="true" outlineLevel="0" collapsed="false">
      <c r="A33" s="45" t="s">
        <v>1329</v>
      </c>
    </row>
    <row r="34" customFormat="false" ht="31.5" hidden="false" customHeight="true" outlineLevel="0" collapsed="false">
      <c r="A34" s="20" t="s">
        <v>1330</v>
      </c>
      <c r="B34" s="20"/>
      <c r="C34" s="20"/>
      <c r="D34" s="20"/>
      <c r="E34" s="20"/>
      <c r="F34" s="20"/>
      <c r="G34" s="20"/>
      <c r="H34" s="20"/>
    </row>
    <row r="35" customFormat="false" ht="31.5" hidden="false" customHeight="true" outlineLevel="0" collapsed="false">
      <c r="A35" s="20" t="s">
        <v>1331</v>
      </c>
      <c r="B35" s="20"/>
      <c r="C35" s="20"/>
      <c r="D35" s="20"/>
      <c r="E35" s="20"/>
      <c r="F35" s="20"/>
      <c r="G35" s="20"/>
      <c r="H35" s="20"/>
    </row>
    <row r="36" customFormat="false" ht="31.5" hidden="false" customHeight="true" outlineLevel="0" collapsed="false">
      <c r="A36" s="20" t="s">
        <v>1332</v>
      </c>
      <c r="B36" s="20"/>
      <c r="C36" s="20"/>
      <c r="D36" s="20"/>
      <c r="E36" s="20"/>
      <c r="F36" s="20"/>
      <c r="G36" s="20"/>
      <c r="H36" s="20"/>
    </row>
    <row r="37" customFormat="false" ht="31.5" hidden="false" customHeight="true" outlineLevel="0" collapsed="false">
      <c r="A37" s="20" t="s">
        <v>1333</v>
      </c>
      <c r="B37" s="20"/>
      <c r="C37" s="20"/>
      <c r="D37" s="20"/>
      <c r="E37" s="20"/>
      <c r="F37" s="20"/>
      <c r="G37" s="20"/>
      <c r="H37" s="20"/>
    </row>
  </sheetData>
  <mergeCells count="8">
    <mergeCell ref="A4:H4"/>
    <mergeCell ref="A5:H5"/>
    <mergeCell ref="A6:H6"/>
    <mergeCell ref="A7:H7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T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0"/>
    <col collapsed="false" customWidth="true" hidden="false" outlineLevel="0" max="9" min="9" style="1" width="14"/>
    <col collapsed="false" customWidth="true" hidden="false" outlineLevel="0" max="10" min="10" style="1" width="24"/>
  </cols>
  <sheetData>
    <row r="1" customFormat="false" ht="21" hidden="false" customHeight="true" outlineLevel="0" collapsed="false">
      <c r="A1" s="53" t="s">
        <v>1334</v>
      </c>
    </row>
    <row r="2" customFormat="false" ht="14.25" hidden="false" customHeight="true" outlineLevel="0" collapsed="false">
      <c r="A2" s="22" t="s">
        <v>1335</v>
      </c>
    </row>
    <row r="4" customFormat="false" ht="57.75" hidden="false" customHeight="true" outlineLevel="0" collapsed="false">
      <c r="A4" s="54" t="s">
        <v>1336</v>
      </c>
      <c r="B4" s="54"/>
      <c r="C4" s="54"/>
      <c r="D4" s="54"/>
      <c r="E4" s="54"/>
      <c r="F4" s="54"/>
      <c r="G4" s="54"/>
      <c r="H4" s="54"/>
      <c r="I4" s="54"/>
      <c r="J4" s="54"/>
      <c r="L4" s="9" t="s">
        <v>1337</v>
      </c>
      <c r="M4" s="9"/>
      <c r="N4" s="9"/>
      <c r="O4" s="9"/>
      <c r="P4" s="9"/>
      <c r="Q4" s="9"/>
      <c r="R4" s="9"/>
      <c r="S4" s="9"/>
      <c r="T4" s="9"/>
    </row>
    <row r="5" customFormat="false" ht="14.25" hidden="false" customHeight="true" outlineLevel="0" collapsed="false">
      <c r="A5" s="55" t="s">
        <v>164</v>
      </c>
      <c r="B5" s="55" t="s">
        <v>128</v>
      </c>
      <c r="C5" s="55" t="s">
        <v>129</v>
      </c>
      <c r="D5" s="55" t="s">
        <v>103</v>
      </c>
      <c r="E5" s="55" t="s">
        <v>107</v>
      </c>
      <c r="F5" s="55" t="s">
        <v>106</v>
      </c>
      <c r="G5" s="55" t="s">
        <v>1338</v>
      </c>
      <c r="H5" s="55" t="s">
        <v>35</v>
      </c>
      <c r="I5" s="55" t="s">
        <v>105</v>
      </c>
      <c r="J5" s="55" t="s">
        <v>45</v>
      </c>
      <c r="L5" s="9"/>
      <c r="M5" s="9"/>
      <c r="N5" s="9"/>
      <c r="O5" s="9"/>
      <c r="P5" s="9"/>
      <c r="Q5" s="9"/>
      <c r="R5" s="9"/>
      <c r="S5" s="9"/>
      <c r="T5" s="9"/>
    </row>
    <row r="6" customFormat="false" ht="30" hidden="false" customHeight="true" outlineLevel="0" collapsed="false">
      <c r="A6" s="56" t="n">
        <v>1</v>
      </c>
      <c r="B6" s="16" t="str">
        <f aca="false">INDEX('Dados completos'!$B$4:$B$227,MATCH(1,'Dados completos'!$AU$4:$AU$227,0))</f>
        <v>Santander Portugal</v>
      </c>
      <c r="C6" s="16" t="str">
        <f aca="false">INDEX('Dados completos'!$C$4:$C$227,MATCH(1,'Dados completos'!$AU$4:$AU$227,0))</f>
        <v>Estágio, Controlo e Governo de Riscos</v>
      </c>
      <c r="D6" s="17" t="str">
        <f aca="false">INDEX('Dados completos'!$G$4:$G$227,MATCH(1,'Dados completos'!$AU$4:$AU$227,0))</f>
        <v>Lisboa</v>
      </c>
      <c r="E6" s="19" t="n">
        <f aca="false">INDEX('Dados completos'!$AF$4:$AF$227,MATCH(1,'Dados completos'!$AU$4:$AU$227,0))</f>
        <v>91</v>
      </c>
      <c r="F6" s="18" t="n">
        <f aca="false">INDEX('Dados completos'!$AH$4:$AH$227,MATCH(1,'Dados completos'!$AU$4:$AU$227,0))</f>
        <v>0.17904</v>
      </c>
      <c r="G6" s="57" t="n">
        <f aca="false">INDEX('Dados completos'!$W$4:$W$227,MATCH(1,'Dados completos'!$AU$4:$AU$227,0))</f>
        <v>3</v>
      </c>
      <c r="H6" s="17" t="str">
        <f aca="false">INDEX('Dados completos'!$AI$4:$AI$227,MATCH(1,'Dados completos'!$AU$4:$AU$227,0))</f>
        <v>Boa</v>
      </c>
      <c r="I6" s="17" t="str">
        <f aca="false">INDEX('Dados completos'!$V$4:$V$227,MATCH(1,'Dados completos'!$AU$4:$AU$227,0))</f>
        <v>Média</v>
      </c>
      <c r="J6" s="17" t="str">
        <f aca="false">INDEX('Dados completos'!$AK$4:$AK$227,MATCH(1,'Dados completos'!$AU$4:$AU$227,0))</f>
        <v>Por confirmar</v>
      </c>
    </row>
    <row r="7" customFormat="false" ht="30" hidden="false" customHeight="true" outlineLevel="0" collapsed="false">
      <c r="A7" s="56" t="n">
        <v>2</v>
      </c>
      <c r="B7" s="16" t="str">
        <f aca="false">INDEX('Dados completos'!$B$4:$B$227,MATCH(2,'Dados completos'!$AU$4:$AU$227,0))</f>
        <v>Santander Portugal</v>
      </c>
      <c r="C7" s="16" t="str">
        <f aca="false">INDEX('Dados completos'!$C$4:$C$227,MATCH(2,'Dados completos'!$AU$4:$AU$227,0))</f>
        <v>Credit Risk Trainee</v>
      </c>
      <c r="D7" s="17" t="str">
        <f aca="false">INDEX('Dados completos'!$G$4:$G$227,MATCH(2,'Dados completos'!$AU$4:$AU$227,0))</f>
        <v>Lisboa</v>
      </c>
      <c r="E7" s="19" t="n">
        <f aca="false">INDEX('Dados completos'!$AF$4:$AF$227,MATCH(2,'Dados completos'!$AU$4:$AU$227,0))</f>
        <v>91</v>
      </c>
      <c r="F7" s="18" t="n">
        <f aca="false">INDEX('Dados completos'!$AH$4:$AH$227,MATCH(2,'Dados completos'!$AU$4:$AU$227,0))</f>
        <v>0.17904</v>
      </c>
      <c r="G7" s="57" t="n">
        <f aca="false">INDEX('Dados completos'!$W$4:$W$227,MATCH(2,'Dados completos'!$AU$4:$AU$227,0))</f>
        <v>3</v>
      </c>
      <c r="H7" s="17" t="str">
        <f aca="false">INDEX('Dados completos'!$AI$4:$AI$227,MATCH(2,'Dados completos'!$AU$4:$AU$227,0))</f>
        <v>Boa</v>
      </c>
      <c r="I7" s="17" t="str">
        <f aca="false">INDEX('Dados completos'!$V$4:$V$227,MATCH(2,'Dados completos'!$AU$4:$AU$227,0))</f>
        <v>Média</v>
      </c>
      <c r="J7" s="17" t="str">
        <f aca="false">INDEX('Dados completos'!$AK$4:$AK$227,MATCH(2,'Dados completos'!$AU$4:$AU$227,0))</f>
        <v>Por confirmar</v>
      </c>
    </row>
    <row r="8" customFormat="false" ht="30" hidden="false" customHeight="true" outlineLevel="0" collapsed="false">
      <c r="A8" s="56" t="n">
        <v>3</v>
      </c>
      <c r="B8" s="16" t="str">
        <f aca="false">INDEX('Dados completos'!$B$4:$B$227,MATCH(3,'Dados completos'!$AU$4:$AU$227,0))</f>
        <v>Banco Santander (Portugal)</v>
      </c>
      <c r="C8" s="16" t="str">
        <f aca="false">INDEX('Dados completos'!$C$4:$C$227,MATCH(3,'Dados completos'!$AU$4:$AU$227,0))</f>
        <v>Programa de Estágios, Candidatura espontânea (Lisboa)</v>
      </c>
      <c r="D8" s="17" t="str">
        <f aca="false">INDEX('Dados completos'!$G$4:$G$227,MATCH(3,'Dados completos'!$AU$4:$AU$227,0))</f>
        <v>Lisboa</v>
      </c>
      <c r="E8" s="19" t="n">
        <f aca="false">INDEX('Dados completos'!$AF$4:$AF$227,MATCH(3,'Dados completos'!$AU$4:$AU$227,0))</f>
        <v>89.5</v>
      </c>
      <c r="F8" s="18" t="n">
        <f aca="false">INDEX('Dados completos'!$AH$4:$AH$227,MATCH(3,'Dados completos'!$AU$4:$AU$227,0))</f>
        <v>0.17688</v>
      </c>
      <c r="G8" s="57" t="n">
        <f aca="false">INDEX('Dados completos'!$W$4:$W$227,MATCH(3,'Dados completos'!$AU$4:$AU$227,0))</f>
        <v>3</v>
      </c>
      <c r="H8" s="17" t="str">
        <f aca="false">INDEX('Dados completos'!$AI$4:$AI$227,MATCH(3,'Dados completos'!$AU$4:$AU$227,0))</f>
        <v>Boa</v>
      </c>
      <c r="I8" s="17" t="str">
        <f aca="false">INDEX('Dados completos'!$V$4:$V$227,MATCH(3,'Dados completos'!$AU$4:$AU$227,0))</f>
        <v>Média</v>
      </c>
      <c r="J8" s="17" t="str">
        <f aca="false">INDEX('Dados completos'!$AK$4:$AK$227,MATCH(3,'Dados completos'!$AU$4:$AU$227,0))</f>
        <v>Aberta (rolling)</v>
      </c>
    </row>
    <row r="9" customFormat="false" ht="30" hidden="false" customHeight="true" outlineLevel="0" collapsed="false">
      <c r="A9" s="56" t="n">
        <v>4</v>
      </c>
      <c r="B9" s="16" t="str">
        <f aca="false">INDEX('Dados completos'!$B$4:$B$227,MATCH(4,'Dados completos'!$AU$4:$AU$227,0))</f>
        <v>Qualquer empresa portuguesa (PE/VC/Corporate Finance)</v>
      </c>
      <c r="C9" s="16" t="str">
        <f aca="false">INDEX('Dados completos'!$C$4:$C$227,MATCH(4,'Dados completos'!$AU$4:$AU$227,0))</f>
        <v>Estágio profissional via IEFP (Estágios +Talento) + candidatura espontânea</v>
      </c>
      <c r="D9" s="17" t="str">
        <f aca="false">INDEX('Dados completos'!$G$4:$G$227,MATCH(4,'Dados completos'!$AU$4:$AU$227,0))</f>
        <v>Lisboa (e outras)</v>
      </c>
      <c r="E9" s="19" t="n">
        <f aca="false">INDEX('Dados completos'!$AF$4:$AF$227,MATCH(4,'Dados completos'!$AU$4:$AU$227,0))</f>
        <v>89.5</v>
      </c>
      <c r="F9" s="18" t="n">
        <f aca="false">INDEX('Dados completos'!$AH$4:$AH$227,MATCH(4,'Dados completos'!$AU$4:$AU$227,0))</f>
        <v>0.17688</v>
      </c>
      <c r="G9" s="57" t="n">
        <f aca="false">INDEX('Dados completos'!$W$4:$W$227,MATCH(4,'Dados completos'!$AU$4:$AU$227,0))</f>
        <v>3</v>
      </c>
      <c r="H9" s="17" t="str">
        <f aca="false">INDEX('Dados completos'!$AI$4:$AI$227,MATCH(4,'Dados completos'!$AU$4:$AU$227,0))</f>
        <v>Boa</v>
      </c>
      <c r="I9" s="17" t="str">
        <f aca="false">INDEX('Dados completos'!$V$4:$V$227,MATCH(4,'Dados completos'!$AU$4:$AU$227,0))</f>
        <v>Média</v>
      </c>
      <c r="J9" s="17" t="str">
        <f aca="false">INDEX('Dados completos'!$AK$4:$AK$227,MATCH(4,'Dados completos'!$AU$4:$AU$227,0))</f>
        <v>Via a explorar</v>
      </c>
    </row>
    <row r="10" customFormat="false" ht="30" hidden="false" customHeight="true" outlineLevel="0" collapsed="false">
      <c r="A10" s="56" t="n">
        <v>5</v>
      </c>
      <c r="B10" s="16" t="str">
        <f aca="false">INDEX('Dados completos'!$B$4:$B$227,MATCH(5,'Dados completos'!$AU$4:$AU$227,0))</f>
        <v>Caixa Geral de Depósitos</v>
      </c>
      <c r="C10" s="16" t="str">
        <f aca="false">INDEX('Dados completos'!$C$4:$C$227,MATCH(5,'Dados completos'!$AU$4:$AU$227,0))</f>
        <v>Estagiário(a), Direção de Mercados Financeiros</v>
      </c>
      <c r="D10" s="17" t="str">
        <f aca="false">INDEX('Dados completos'!$G$4:$G$227,MATCH(5,'Dados completos'!$AU$4:$AU$227,0))</f>
        <v>Lisboa</v>
      </c>
      <c r="E10" s="19" t="n">
        <f aca="false">INDEX('Dados completos'!$AF$4:$AF$227,MATCH(5,'Dados completos'!$AU$4:$AU$227,0))</f>
        <v>88.75</v>
      </c>
      <c r="F10" s="18" t="n">
        <f aca="false">INDEX('Dados completos'!$AH$4:$AH$227,MATCH(5,'Dados completos'!$AU$4:$AU$227,0))</f>
        <v>0.1172</v>
      </c>
      <c r="G10" s="57" t="n">
        <f aca="false">INDEX('Dados completos'!$W$4:$W$227,MATCH(5,'Dados completos'!$AU$4:$AU$227,0))</f>
        <v>4.5</v>
      </c>
      <c r="H10" s="17" t="str">
        <f aca="false">INDEX('Dados completos'!$AI$4:$AI$227,MATCH(5,'Dados completos'!$AU$4:$AU$227,0))</f>
        <v>Boa</v>
      </c>
      <c r="I10" s="17" t="str">
        <f aca="false">INDEX('Dados completos'!$V$4:$V$227,MATCH(5,'Dados completos'!$AU$4:$AU$227,0))</f>
        <v>Média-alta</v>
      </c>
      <c r="J10" s="17" t="str">
        <f aca="false">INDEX('Dados completos'!$AK$4:$AK$227,MATCH(5,'Dados completos'!$AU$4:$AU$227,0))</f>
        <v>Aberta (prazo não indicado)</v>
      </c>
    </row>
    <row r="11" customFormat="false" ht="30" hidden="false" customHeight="true" outlineLevel="0" collapsed="false">
      <c r="A11" s="56" t="n">
        <v>6</v>
      </c>
      <c r="B11" s="16" t="str">
        <f aca="false">INDEX('Dados completos'!$B$4:$B$227,MATCH(6,'Dados completos'!$AU$4:$AU$227,0))</f>
        <v>EY-Parthenon</v>
      </c>
      <c r="C11" s="16" t="str">
        <f aca="false">INDEX('Dados completos'!$C$4:$C$227,MATCH(6,'Dados completos'!$AU$4:$AU$227,0))</f>
        <v>Business Analyst, EY-Parthenon M&amp;A (Real Estate) (Lisboa)</v>
      </c>
      <c r="D11" s="17" t="str">
        <f aca="false">INDEX('Dados completos'!$G$4:$G$227,MATCH(6,'Dados completos'!$AU$4:$AU$227,0))</f>
        <v>Lisboa</v>
      </c>
      <c r="E11" s="19" t="n">
        <f aca="false">INDEX('Dados completos'!$AF$4:$AF$227,MATCH(6,'Dados completos'!$AU$4:$AU$227,0))</f>
        <v>89.5</v>
      </c>
      <c r="F11" s="18" t="n">
        <f aca="false">INDEX('Dados completos'!$AH$4:$AH$227,MATCH(6,'Dados completos'!$AU$4:$AU$227,0))</f>
        <v>0.11792</v>
      </c>
      <c r="G11" s="57" t="n">
        <f aca="false">INDEX('Dados completos'!$W$4:$W$227,MATCH(6,'Dados completos'!$AU$4:$AU$227,0))</f>
        <v>4</v>
      </c>
      <c r="H11" s="17" t="str">
        <f aca="false">INDEX('Dados completos'!$AI$4:$AI$227,MATCH(6,'Dados completos'!$AU$4:$AU$227,0))</f>
        <v>Boa</v>
      </c>
      <c r="I11" s="17" t="str">
        <f aca="false">INDEX('Dados completos'!$V$4:$V$227,MATCH(6,'Dados completos'!$AU$4:$AU$227,0))</f>
        <v>Média-alta</v>
      </c>
      <c r="J11" s="17" t="str">
        <f aca="false">INDEX('Dados completos'!$AK$4:$AK$227,MATCH(6,'Dados completos'!$AU$4:$AU$227,0))</f>
        <v>Aberta (prazo não indicado)</v>
      </c>
    </row>
    <row r="12" customFormat="false" ht="30" hidden="false" customHeight="true" outlineLevel="0" collapsed="false">
      <c r="A12" s="56" t="n">
        <v>7</v>
      </c>
      <c r="B12" s="16" t="str">
        <f aca="false">INDEX('Dados completos'!$B$4:$B$227,MATCH(7,'Dados completos'!$AU$4:$AU$227,0))</f>
        <v>BNP Paribas</v>
      </c>
      <c r="C12" s="16" t="str">
        <f aca="false">INDEX('Dados completos'!$C$4:$C$227,MATCH(7,'Dados completos'!$AU$4:$AU$227,0))</f>
        <v>Investment Banking Trainee, M&amp;A Advisory (Lisboa)</v>
      </c>
      <c r="D12" s="17" t="str">
        <f aca="false">INDEX('Dados completos'!$G$4:$G$227,MATCH(7,'Dados completos'!$AU$4:$AU$227,0))</f>
        <v>Lisboa</v>
      </c>
      <c r="E12" s="19" t="n">
        <f aca="false">INDEX('Dados completos'!$AF$4:$AF$227,MATCH(7,'Dados completos'!$AU$4:$AU$227,0))</f>
        <v>88</v>
      </c>
      <c r="F12" s="18" t="n">
        <f aca="false">INDEX('Dados completos'!$AH$4:$AH$227,MATCH(7,'Dados completos'!$AU$4:$AU$227,0))</f>
        <v>0.11648</v>
      </c>
      <c r="G12" s="57" t="n">
        <f aca="false">INDEX('Dados completos'!$W$4:$W$227,MATCH(7,'Dados completos'!$AU$4:$AU$227,0))</f>
        <v>4</v>
      </c>
      <c r="H12" s="17" t="str">
        <f aca="false">INDEX('Dados completos'!$AI$4:$AI$227,MATCH(7,'Dados completos'!$AU$4:$AU$227,0))</f>
        <v>Boa</v>
      </c>
      <c r="I12" s="17" t="str">
        <f aca="false">INDEX('Dados completos'!$V$4:$V$227,MATCH(7,'Dados completos'!$AU$4:$AU$227,0))</f>
        <v>Média-alta</v>
      </c>
      <c r="J12" s="17" t="str">
        <f aca="false">INDEX('Dados completos'!$AK$4:$AK$227,MATCH(7,'Dados completos'!$AU$4:$AU$227,0))</f>
        <v>Aberta (prazo não indicado)</v>
      </c>
    </row>
    <row r="13" customFormat="false" ht="30" hidden="false" customHeight="true" outlineLevel="0" collapsed="false">
      <c r="A13" s="56" t="n">
        <v>8</v>
      </c>
      <c r="B13" s="16" t="str">
        <f aca="false">INDEX('Dados completos'!$B$4:$B$227,MATCH(8,'Dados completos'!$AU$4:$AU$227,0))</f>
        <v>Empresa por confirmar (gestora)</v>
      </c>
      <c r="C13" s="16" t="str">
        <f aca="false">INDEX('Dados completos'!$C$4:$C$227,MATCH(8,'Dados completos'!$AU$4:$AU$227,0))</f>
        <v>Data Analyst Trainee, Real Assets (Lisboa)</v>
      </c>
      <c r="D13" s="17" t="str">
        <f aca="false">INDEX('Dados completos'!$G$4:$G$227,MATCH(8,'Dados completos'!$AU$4:$AU$227,0))</f>
        <v>Lisboa</v>
      </c>
      <c r="E13" s="19" t="n">
        <f aca="false">INDEX('Dados completos'!$AF$4:$AF$227,MATCH(8,'Dados completos'!$AU$4:$AU$227,0))</f>
        <v>87.55</v>
      </c>
      <c r="F13" s="18" t="n">
        <f aca="false">INDEX('Dados completos'!$AH$4:$AH$227,MATCH(8,'Dados completos'!$AU$4:$AU$227,0))</f>
        <v>0.116048</v>
      </c>
      <c r="G13" s="57" t="n">
        <f aca="false">INDEX('Dados completos'!$W$4:$W$227,MATCH(8,'Dados completos'!$AU$4:$AU$227,0))</f>
        <v>4</v>
      </c>
      <c r="H13" s="17" t="str">
        <f aca="false">INDEX('Dados completos'!$AI$4:$AI$227,MATCH(8,'Dados completos'!$AU$4:$AU$227,0))</f>
        <v>Boa</v>
      </c>
      <c r="I13" s="17" t="str">
        <f aca="false">INDEX('Dados completos'!$V$4:$V$227,MATCH(8,'Dados completos'!$AU$4:$AU$227,0))</f>
        <v>Média-alta</v>
      </c>
      <c r="J13" s="17" t="str">
        <f aca="false">INDEX('Dados completos'!$AK$4:$AK$227,MATCH(8,'Dados completos'!$AU$4:$AU$227,0))</f>
        <v>Por confirmar</v>
      </c>
    </row>
    <row r="14" customFormat="false" ht="30" hidden="false" customHeight="true" outlineLevel="0" collapsed="false">
      <c r="A14" s="56" t="n">
        <v>9</v>
      </c>
      <c r="B14" s="16" t="str">
        <f aca="false">INDEX('Dados completos'!$B$4:$B$227,MATCH(9,'Dados completos'!$AU$4:$AU$227,0))</f>
        <v>Euronext</v>
      </c>
      <c r="C14" s="16" t="str">
        <f aca="false">INDEX('Dados completos'!$C$4:$C$227,MATCH(9,'Dados completos'!$AU$4:$AU$227,0))</f>
        <v>Early Careers (programa de 2 anos nos mercados financeiros europeus)</v>
      </c>
      <c r="D14" s="17" t="str">
        <f aca="false">INDEX('Dados completos'!$G$4:$G$227,MATCH(9,'Dados completos'!$AU$4:$AU$227,0))</f>
        <v>Lisboa</v>
      </c>
      <c r="E14" s="19" t="n">
        <f aca="false">INDEX('Dados completos'!$AF$4:$AF$227,MATCH(9,'Dados completos'!$AU$4:$AU$227,0))</f>
        <v>87.15</v>
      </c>
      <c r="F14" s="18" t="n">
        <f aca="false">INDEX('Dados completos'!$AH$4:$AH$227,MATCH(9,'Dados completos'!$AU$4:$AU$227,0))</f>
        <v>0.115664</v>
      </c>
      <c r="G14" s="57" t="n">
        <f aca="false">INDEX('Dados completos'!$W$4:$W$227,MATCH(9,'Dados completos'!$AU$4:$AU$227,0))</f>
        <v>4</v>
      </c>
      <c r="H14" s="17" t="str">
        <f aca="false">INDEX('Dados completos'!$AI$4:$AI$227,MATCH(9,'Dados completos'!$AU$4:$AU$227,0))</f>
        <v>Boa</v>
      </c>
      <c r="I14" s="17" t="str">
        <f aca="false">INDEX('Dados completos'!$V$4:$V$227,MATCH(9,'Dados completos'!$AU$4:$AU$227,0))</f>
        <v>Média-alta</v>
      </c>
      <c r="J14" s="17" t="str">
        <f aca="false">INDEX('Dados completos'!$AK$4:$AK$227,MATCH(9,'Dados completos'!$AU$4:$AU$227,0))</f>
        <v>Por confirmar</v>
      </c>
    </row>
    <row r="15" customFormat="false" ht="30" hidden="false" customHeight="true" outlineLevel="0" collapsed="false">
      <c r="A15" s="56" t="n">
        <v>10</v>
      </c>
      <c r="B15" s="16" t="str">
        <f aca="false">INDEX('Dados completos'!$B$4:$B$227,MATCH(10,'Dados completos'!$AU$4:$AU$227,0))</f>
        <v>Hilton</v>
      </c>
      <c r="C15" s="16" t="str">
        <f aca="false">INDEX('Dados completos'!$C$4:$C$227,MATCH(10,'Dados completos'!$AU$4:$AU$227,0))</f>
        <v>Finance Intern / Trainee (Lisboa)</v>
      </c>
      <c r="D15" s="17" t="str">
        <f aca="false">INDEX('Dados completos'!$G$4:$G$227,MATCH(10,'Dados completos'!$AU$4:$AU$227,0))</f>
        <v>Lisboa</v>
      </c>
      <c r="E15" s="19" t="n">
        <f aca="false">INDEX('Dados completos'!$AF$4:$AF$227,MATCH(10,'Dados completos'!$AU$4:$AU$227,0))</f>
        <v>91.3</v>
      </c>
      <c r="F15" s="18" t="n">
        <f aca="false">INDEX('Dados completos'!$AH$4:$AH$227,MATCH(10,'Dados completos'!$AU$4:$AU$227,0))</f>
        <v>0.179472</v>
      </c>
      <c r="G15" s="57" t="n">
        <f aca="false">INDEX('Dados completos'!$W$4:$W$227,MATCH(10,'Dados completos'!$AU$4:$AU$227,0))</f>
        <v>2.5</v>
      </c>
      <c r="H15" s="17" t="str">
        <f aca="false">INDEX('Dados completos'!$AI$4:$AI$227,MATCH(10,'Dados completos'!$AU$4:$AU$227,0))</f>
        <v>Boa</v>
      </c>
      <c r="I15" s="17" t="str">
        <f aca="false">INDEX('Dados completos'!$V$4:$V$227,MATCH(10,'Dados completos'!$AU$4:$AU$227,0))</f>
        <v>Média</v>
      </c>
      <c r="J15" s="17" t="str">
        <f aca="false">INDEX('Dados completos'!$AK$4:$AK$227,MATCH(10,'Dados completos'!$AU$4:$AU$227,0))</f>
        <v>Por confirmar</v>
      </c>
    </row>
    <row r="18" customFormat="false" ht="57.75" hidden="false" customHeight="true" outlineLevel="0" collapsed="false">
      <c r="A18" s="54" t="s">
        <v>1339</v>
      </c>
      <c r="B18" s="54"/>
      <c r="C18" s="54"/>
      <c r="D18" s="54"/>
      <c r="E18" s="54"/>
      <c r="F18" s="54"/>
      <c r="G18" s="54"/>
      <c r="H18" s="54"/>
      <c r="I18" s="54"/>
      <c r="J18" s="54"/>
    </row>
    <row r="19" customFormat="false" ht="24" hidden="false" customHeight="true" outlineLevel="0" collapsed="false">
      <c r="A19" s="55"/>
      <c r="B19" s="55" t="s">
        <v>1340</v>
      </c>
      <c r="C19" s="55"/>
      <c r="D19" s="55" t="s">
        <v>1341</v>
      </c>
      <c r="E19" s="55" t="s">
        <v>127</v>
      </c>
    </row>
    <row r="20" customFormat="false" ht="15" hidden="false" customHeight="true" outlineLevel="0" collapsed="false">
      <c r="A20" s="17"/>
      <c r="B20" s="16" t="s">
        <v>1342</v>
      </c>
      <c r="C20" s="16"/>
      <c r="D20" s="19" t="n">
        <f aca="false">COUNT('Dados completos'!$AV$4:$AV$227)</f>
        <v>200</v>
      </c>
      <c r="E20" s="19" t="n">
        <f aca="false">COUNT('Dados completos'!$AW$4:$AW$227)</f>
        <v>200</v>
      </c>
    </row>
    <row r="21" customFormat="false" ht="15" hidden="false" customHeight="true" outlineLevel="0" collapsed="false">
      <c r="A21" s="17"/>
      <c r="B21" s="16" t="s">
        <v>517</v>
      </c>
      <c r="C21" s="16"/>
      <c r="D21" s="57" t="n">
        <f aca="false">AVERAGE('Dados completos'!$AV$4:$AV$227)</f>
        <v>58.32425</v>
      </c>
      <c r="E21" s="18" t="n">
        <f aca="false">AVERAGE('Dados completos'!$AW$4:$AW$227)</f>
        <v>0.044837407</v>
      </c>
    </row>
    <row r="22" customFormat="false" ht="15" hidden="false" customHeight="true" outlineLevel="0" collapsed="false">
      <c r="A22" s="17"/>
      <c r="B22" s="16" t="s">
        <v>1343</v>
      </c>
      <c r="C22" s="16"/>
      <c r="D22" s="57" t="n">
        <f aca="false">MEDIAN('Dados completos'!$AV$4:$AV$227)</f>
        <v>54.05</v>
      </c>
      <c r="E22" s="18" t="n">
        <f aca="false">MEDIAN('Dados completos'!$AW$4:$AW$227)</f>
        <v>0.01219</v>
      </c>
      <c r="L22" s="9" t="s">
        <v>1344</v>
      </c>
      <c r="M22" s="9"/>
      <c r="N22" s="9"/>
      <c r="O22" s="9"/>
      <c r="P22" s="9"/>
      <c r="Q22" s="9"/>
      <c r="R22" s="9"/>
      <c r="S22" s="9"/>
      <c r="T22" s="9"/>
    </row>
    <row r="23" customFormat="false" ht="15" hidden="false" customHeight="true" outlineLevel="0" collapsed="false">
      <c r="A23" s="17"/>
      <c r="B23" s="16" t="s">
        <v>1345</v>
      </c>
      <c r="C23" s="16"/>
      <c r="D23" s="57" t="n">
        <f aca="false">STDEV('Dados completos'!$AV$4:$AV$227)</f>
        <v>19.1825395491649</v>
      </c>
      <c r="E23" s="18" t="n">
        <f aca="false">STDEV('Dados completos'!$AW$4:$AW$227)</f>
        <v>0.0549145353793127</v>
      </c>
      <c r="L23" s="9"/>
      <c r="M23" s="9"/>
      <c r="N23" s="9"/>
      <c r="O23" s="9"/>
      <c r="P23" s="9"/>
      <c r="Q23" s="9"/>
      <c r="R23" s="9"/>
      <c r="S23" s="9"/>
      <c r="T23" s="9"/>
    </row>
    <row r="24" customFormat="false" ht="15" hidden="false" customHeight="true" outlineLevel="0" collapsed="false">
      <c r="A24" s="17"/>
      <c r="B24" s="16" t="s">
        <v>1346</v>
      </c>
      <c r="C24" s="16"/>
      <c r="D24" s="57" t="n">
        <f aca="false">MIN('Dados completos'!$AV$4:$AV$227)</f>
        <v>19.5</v>
      </c>
      <c r="E24" s="18" t="n">
        <f aca="false">MIN('Dados completos'!$AW$4:$AW$227)</f>
        <v>0.0010114</v>
      </c>
    </row>
    <row r="25" customFormat="false" ht="15" hidden="false" customHeight="true" outlineLevel="0" collapsed="false">
      <c r="A25" s="17"/>
      <c r="B25" s="16" t="s">
        <v>1347</v>
      </c>
      <c r="C25" s="16"/>
      <c r="D25" s="57" t="n">
        <f aca="false">QUARTILE('Dados completos'!$AV$4:$AV$227,1)</f>
        <v>46.4</v>
      </c>
      <c r="E25" s="18" t="n">
        <f aca="false">QUARTILE('Dados completos'!$AW$4:$AW$227,1)</f>
        <v>0.0097615</v>
      </c>
    </row>
    <row r="26" customFormat="false" ht="15" hidden="false" customHeight="true" outlineLevel="0" collapsed="false">
      <c r="A26" s="17"/>
      <c r="B26" s="16" t="s">
        <v>1348</v>
      </c>
      <c r="C26" s="16"/>
      <c r="D26" s="57" t="n">
        <f aca="false">QUARTILE('Dados completos'!$AV$4:$AV$227,3)</f>
        <v>66</v>
      </c>
      <c r="E26" s="18" t="n">
        <f aca="false">QUARTILE('Dados completos'!$AW$4:$AW$227,3)</f>
        <v>0.03675</v>
      </c>
    </row>
    <row r="27" customFormat="false" ht="15" hidden="false" customHeight="true" outlineLevel="0" collapsed="false">
      <c r="A27" s="17"/>
      <c r="B27" s="16" t="s">
        <v>1349</v>
      </c>
      <c r="C27" s="16"/>
      <c r="D27" s="57" t="n">
        <f aca="false">MAX('Dados completos'!$AV$4:$AV$227)</f>
        <v>92.5</v>
      </c>
      <c r="E27" s="18" t="n">
        <f aca="false">MAX('Dados completos'!$AW$4:$AW$227)</f>
        <v>0.1812</v>
      </c>
    </row>
    <row r="28" customFormat="false" ht="15" hidden="false" customHeight="true" outlineLevel="0" collapsed="false">
      <c r="A28" s="17"/>
      <c r="B28" s="16" t="s">
        <v>1350</v>
      </c>
      <c r="C28" s="16"/>
      <c r="D28" s="57" t="n">
        <f aca="false">AVERAGEIFS('Dados completos'!$AV$4:$AV$227,'Dados completos'!$AU$4:$AU$227,"&lt;=10")</f>
        <v>89.325</v>
      </c>
      <c r="E28" s="18" t="n">
        <f aca="false">AVERAGEIFS('Dados completos'!$AW$4:$AW$227,'Dados completos'!$AU$4:$AU$227,"&lt;=10")</f>
        <v>0.1474624</v>
      </c>
    </row>
    <row r="29" customFormat="false" ht="15" hidden="false" customHeight="true" outlineLevel="0" collapsed="false">
      <c r="A29" s="17"/>
      <c r="B29" s="16" t="s">
        <v>1351</v>
      </c>
      <c r="C29" s="16"/>
      <c r="D29" s="57" t="n">
        <f aca="false">AVERAGEIFS('Dados completos'!$AV$4:$AV$227,'Dados completos'!$AU$4:$AU$227,"&gt;10")</f>
        <v>56.6926315789474</v>
      </c>
      <c r="E29" s="18" t="n">
        <f aca="false">AVERAGEIFS('Dados completos'!$AW$4:$AW$227,'Dados completos'!$AU$4:$AU$227,"&gt;10")</f>
        <v>0.0394360915789474</v>
      </c>
    </row>
    <row r="30" customFormat="false" ht="15" hidden="false" customHeight="true" outlineLevel="0" collapsed="false">
      <c r="A30" s="17"/>
      <c r="B30" s="58" t="s">
        <v>1352</v>
      </c>
      <c r="C30" s="58"/>
      <c r="D30" s="59" t="n">
        <f aca="false">D28-D29</f>
        <v>32.6323684210526</v>
      </c>
      <c r="E30" s="60" t="n">
        <f aca="false">E28-E29</f>
        <v>0.108026308421053</v>
      </c>
    </row>
    <row r="33" customFormat="false" ht="57.75" hidden="false" customHeight="true" outlineLevel="0" collapsed="false">
      <c r="A33" s="54" t="s">
        <v>1353</v>
      </c>
      <c r="B33" s="54"/>
      <c r="C33" s="54"/>
      <c r="D33" s="54"/>
      <c r="E33" s="54"/>
      <c r="F33" s="54"/>
      <c r="G33" s="54"/>
      <c r="H33" s="54"/>
      <c r="I33" s="54"/>
      <c r="J33" s="54"/>
    </row>
    <row r="34" customFormat="false" ht="24" hidden="false" customHeight="true" outlineLevel="0" collapsed="false">
      <c r="A34" s="55"/>
      <c r="B34" s="55" t="s">
        <v>76</v>
      </c>
      <c r="C34" s="55"/>
      <c r="D34" s="55" t="s">
        <v>1354</v>
      </c>
      <c r="E34" s="55" t="s">
        <v>78</v>
      </c>
      <c r="F34" s="55" t="s">
        <v>1355</v>
      </c>
      <c r="G34" s="55" t="s">
        <v>1356</v>
      </c>
    </row>
    <row r="35" customFormat="false" ht="15" hidden="false" customHeight="true" outlineLevel="0" collapsed="false">
      <c r="A35" s="17"/>
      <c r="B35" s="16" t="s">
        <v>81</v>
      </c>
      <c r="C35" s="16"/>
      <c r="D35" s="19" t="n">
        <f aca="false">COUNTIFS('Dados completos'!$F$4:$F$227,B35,'Dados completos'!$AQ$4:$AQ$227,1)</f>
        <v>27</v>
      </c>
      <c r="E35" s="18" t="n">
        <f aca="false">IFERROR(AVERAGEIFS('Dados completos'!$AR$4:$AR$227,'Dados completos'!$F$4:$F$227,B35,'Dados completos'!$AQ$4:$AQ$227,1),"")</f>
        <v>0.0146807407407407</v>
      </c>
      <c r="F35" s="18" t="n">
        <f aca="false">_xlfn.MAXIFS('Dados completos'!$AR$4:$AR$227,'Dados completos'!$F$4:$F$227,B35)</f>
        <v>0.03648</v>
      </c>
      <c r="G35" s="19" t="n">
        <f aca="false">IFERROR(AVERAGEIFS('Dados completos'!$AF$4:$AF$227,'Dados completos'!$F$4:$F$227,B35,'Dados completos'!$AQ$4:$AQ$227,1),"")</f>
        <v>60.6481481481481</v>
      </c>
    </row>
    <row r="36" customFormat="false" ht="15" hidden="false" customHeight="true" outlineLevel="0" collapsed="false">
      <c r="A36" s="17"/>
      <c r="B36" s="16" t="s">
        <v>83</v>
      </c>
      <c r="C36" s="16"/>
      <c r="D36" s="19" t="n">
        <f aca="false">COUNTIFS('Dados completos'!$F$4:$F$227,B36,'Dados completos'!$AQ$4:$AQ$227,1)</f>
        <v>7</v>
      </c>
      <c r="E36" s="18" t="n">
        <f aca="false">IFERROR(AVERAGEIFS('Dados completos'!$AR$4:$AR$227,'Dados completos'!$F$4:$F$227,B36,'Dados completos'!$AQ$4:$AQ$227,1),"")</f>
        <v>0.0185474285714286</v>
      </c>
      <c r="F36" s="18" t="n">
        <f aca="false">_xlfn.MAXIFS('Dados completos'!$AR$4:$AR$227,'Dados completos'!$F$4:$F$227,B36)</f>
        <v>0.03162</v>
      </c>
      <c r="G36" s="19" t="n">
        <f aca="false">IFERROR(AVERAGEIFS('Dados completos'!$AF$4:$AF$227,'Dados completos'!$F$4:$F$227,B36,'Dados completos'!$AQ$4:$AQ$227,1),"")</f>
        <v>49.3142857142857</v>
      </c>
    </row>
    <row r="37" customFormat="false" ht="15" hidden="false" customHeight="true" outlineLevel="0" collapsed="false">
      <c r="A37" s="17"/>
      <c r="B37" s="16" t="s">
        <v>85</v>
      </c>
      <c r="C37" s="16"/>
      <c r="D37" s="19" t="n">
        <f aca="false">COUNTIFS('Dados completos'!$F$4:$F$227,B37,'Dados completos'!$AQ$4:$AQ$227,1)</f>
        <v>61</v>
      </c>
      <c r="E37" s="18" t="n">
        <f aca="false">IFERROR(AVERAGEIFS('Dados completos'!$AR$4:$AR$227,'Dados completos'!$F$4:$F$227,B37,'Dados completos'!$AQ$4:$AQ$227,1),"")</f>
        <v>0.0162899672131148</v>
      </c>
      <c r="F37" s="18" t="n">
        <f aca="false">_xlfn.MAXIFS('Dados completos'!$AR$4:$AR$227,'Dados completos'!$F$4:$F$227,B37)</f>
        <v>0.03756</v>
      </c>
      <c r="G37" s="19" t="n">
        <f aca="false">IFERROR(AVERAGEIFS('Dados completos'!$AF$4:$AF$227,'Dados completos'!$F$4:$F$227,B37,'Dados completos'!$AQ$4:$AQ$227,1),"")</f>
        <v>41.0950819672131</v>
      </c>
    </row>
    <row r="38" customFormat="false" ht="15" hidden="false" customHeight="true" outlineLevel="0" collapsed="false">
      <c r="A38" s="17"/>
      <c r="B38" s="16" t="s">
        <v>87</v>
      </c>
      <c r="C38" s="16"/>
      <c r="D38" s="19" t="n">
        <f aca="false">COUNTIFS('Dados completos'!$F$4:$F$227,B38,'Dados completos'!$AQ$4:$AQ$227,1)</f>
        <v>19</v>
      </c>
      <c r="E38" s="18" t="n">
        <f aca="false">IFERROR(AVERAGEIFS('Dados completos'!$AR$4:$AR$227,'Dados completos'!$F$4:$F$227,B38,'Dados completos'!$AQ$4:$AQ$227,1),"")</f>
        <v>0.0136742842105263</v>
      </c>
      <c r="F38" s="18" t="n">
        <f aca="false">_xlfn.MAXIFS('Dados completos'!$AR$4:$AR$227,'Dados completos'!$F$4:$F$227,B38)</f>
        <v>0.031296</v>
      </c>
      <c r="G38" s="19" t="n">
        <f aca="false">IFERROR(AVERAGEIFS('Dados completos'!$AF$4:$AF$227,'Dados completos'!$F$4:$F$227,B38,'Dados completos'!$AQ$4:$AQ$227,1),"")</f>
        <v>48.9973684210526</v>
      </c>
    </row>
    <row r="39" customFormat="false" ht="15" hidden="false" customHeight="true" outlineLevel="0" collapsed="false">
      <c r="A39" s="17"/>
      <c r="B39" s="16" t="s">
        <v>89</v>
      </c>
      <c r="C39" s="16"/>
      <c r="D39" s="19" t="n">
        <f aca="false">COUNTIFS('Dados completos'!$F$4:$F$227,B39,'Dados completos'!$AQ$4:$AQ$227,1)</f>
        <v>52</v>
      </c>
      <c r="E39" s="18" t="n">
        <f aca="false">IFERROR(AVERAGEIFS('Dados completos'!$AR$4:$AR$227,'Dados completos'!$F$4:$F$227,B39,'Dados completos'!$AQ$4:$AQ$227,1),"")</f>
        <v>0.123644769230769</v>
      </c>
      <c r="F39" s="18" t="n">
        <f aca="false">_xlfn.MAXIFS('Dados completos'!$AR$4:$AR$227,'Dados completos'!$F$4:$F$227,B39)</f>
        <v>0.1812</v>
      </c>
      <c r="G39" s="19" t="n">
        <f aca="false">IFERROR(AVERAGEIFS('Dados completos'!$AF$4:$AF$227,'Dados completos'!$F$4:$F$227,B39,'Dados completos'!$AQ$4:$AQ$227,1),"")</f>
        <v>84.9442307692308</v>
      </c>
    </row>
    <row r="40" customFormat="false" ht="15" hidden="false" customHeight="true" outlineLevel="0" collapsed="false">
      <c r="A40" s="17"/>
      <c r="B40" s="16" t="s">
        <v>91</v>
      </c>
      <c r="C40" s="16"/>
      <c r="D40" s="19" t="n">
        <f aca="false">COUNTIFS('Dados completos'!$F$4:$F$227,B40,'Dados completos'!$AQ$4:$AQ$227,1)</f>
        <v>6</v>
      </c>
      <c r="E40" s="18" t="n">
        <f aca="false">IFERROR(AVERAGEIFS('Dados completos'!$AR$4:$AR$227,'Dados completos'!$F$4:$F$227,B40,'Dados completos'!$AQ$4:$AQ$227,1),"")</f>
        <v>0.0524496666666667</v>
      </c>
      <c r="F40" s="18" t="n">
        <f aca="false">_xlfn.MAXIFS('Dados completos'!$AR$4:$AR$227,'Dados completos'!$F$4:$F$227,B40)</f>
        <v>0.0812</v>
      </c>
      <c r="G40" s="19" t="n">
        <f aca="false">IFERROR(AVERAGEIFS('Dados completos'!$AF$4:$AF$227,'Dados completos'!$F$4:$F$227,B40,'Dados completos'!$AQ$4:$AQ$227,1),"")</f>
        <v>54.2</v>
      </c>
    </row>
    <row r="41" customFormat="false" ht="15" hidden="false" customHeight="true" outlineLevel="0" collapsed="false">
      <c r="A41" s="17"/>
      <c r="B41" s="16" t="s">
        <v>93</v>
      </c>
      <c r="C41" s="16"/>
      <c r="D41" s="19" t="n">
        <f aca="false">COUNTIFS('Dados completos'!$F$4:$F$227,B41,'Dados completos'!$AQ$4:$AQ$227,1)</f>
        <v>4</v>
      </c>
      <c r="E41" s="18" t="n">
        <f aca="false">IFERROR(AVERAGEIFS('Dados completos'!$AR$4:$AR$227,'Dados completos'!$F$4:$F$227,B41,'Dados completos'!$AQ$4:$AQ$227,1),"")</f>
        <v>0.0112585</v>
      </c>
      <c r="F41" s="18" t="n">
        <f aca="false">_xlfn.MAXIFS('Dados completos'!$AR$4:$AR$227,'Dados completos'!$F$4:$F$227,B41)</f>
        <v>0.01156</v>
      </c>
      <c r="G41" s="19" t="n">
        <f aca="false">IFERROR(AVERAGEIFS('Dados completos'!$AF$4:$AF$227,'Dados completos'!$F$4:$F$227,B41,'Dados completos'!$AQ$4:$AQ$227,1),"")</f>
        <v>60.4875</v>
      </c>
    </row>
    <row r="42" customFormat="false" ht="15" hidden="false" customHeight="true" outlineLevel="0" collapsed="false">
      <c r="A42" s="17"/>
      <c r="B42" s="16" t="s">
        <v>95</v>
      </c>
      <c r="C42" s="16"/>
      <c r="D42" s="19" t="n">
        <f aca="false">COUNTIFS('Dados completos'!$F$4:$F$227,B42,'Dados completos'!$AQ$4:$AQ$227,1)</f>
        <v>9</v>
      </c>
      <c r="E42" s="18" t="n">
        <f aca="false">IFERROR(AVERAGEIFS('Dados completos'!$AR$4:$AR$227,'Dados completos'!$F$4:$F$227,B42,'Dados completos'!$AQ$4:$AQ$227,1),"")</f>
        <v>0.0153084444444444</v>
      </c>
      <c r="F42" s="18" t="n">
        <f aca="false">_xlfn.MAXIFS('Dados completos'!$AR$4:$AR$227,'Dados completos'!$F$4:$F$227,B42)</f>
        <v>0.032502</v>
      </c>
      <c r="G42" s="19" t="n">
        <f aca="false">IFERROR(AVERAGEIFS('Dados completos'!$AF$4:$AF$227,'Dados completos'!$F$4:$F$227,B42,'Dados completos'!$AQ$4:$AQ$227,1),"")</f>
        <v>54.1111111111111</v>
      </c>
    </row>
    <row r="43" customFormat="false" ht="15" hidden="false" customHeight="true" outlineLevel="0" collapsed="false">
      <c r="A43" s="17"/>
      <c r="B43" s="16" t="s">
        <v>97</v>
      </c>
      <c r="C43" s="16"/>
      <c r="D43" s="19" t="n">
        <f aca="false">COUNTIFS('Dados completos'!$F$4:$F$227,B43,'Dados completos'!$AQ$4:$AQ$227,1)</f>
        <v>8</v>
      </c>
      <c r="E43" s="18" t="n">
        <f aca="false">IFERROR(AVERAGEIFS('Dados completos'!$AR$4:$AR$227,'Dados completos'!$F$4:$F$227,B43,'Dados completos'!$AQ$4:$AQ$227,1),"")</f>
        <v>0.014724</v>
      </c>
      <c r="F43" s="18" t="n">
        <f aca="false">_xlfn.MAXIFS('Dados completos'!$AR$4:$AR$227,'Dados completos'!$F$4:$F$227,B43)</f>
        <v>0.029784</v>
      </c>
      <c r="G43" s="19" t="n">
        <f aca="false">IFERROR(AVERAGEIFS('Dados completos'!$AF$4:$AF$227,'Dados completos'!$F$4:$F$227,B43,'Dados completos'!$AQ$4:$AQ$227,1),"")</f>
        <v>48.525</v>
      </c>
    </row>
    <row r="44" customFormat="false" ht="15" hidden="false" customHeight="true" outlineLevel="0" collapsed="false">
      <c r="A44" s="17"/>
      <c r="B44" s="16" t="s">
        <v>98</v>
      </c>
      <c r="C44" s="16"/>
      <c r="D44" s="19" t="n">
        <f aca="false">COUNTIFS('Dados completos'!$F$4:$F$227,B44,'Dados completos'!$AQ$4:$AQ$227,1)</f>
        <v>1</v>
      </c>
      <c r="E44" s="18" t="n">
        <f aca="false">IFERROR(AVERAGEIFS('Dados completos'!$AR$4:$AR$227,'Dados completos'!$F$4:$F$227,B44,'Dados completos'!$AQ$4:$AQ$227,1),"")</f>
        <v>0.03405</v>
      </c>
      <c r="F44" s="18" t="n">
        <f aca="false">_xlfn.MAXIFS('Dados completos'!$AR$4:$AR$227,'Dados completos'!$F$4:$F$227,B44)</f>
        <v>0.03405</v>
      </c>
      <c r="G44" s="19" t="n">
        <f aca="false">IFERROR(AVERAGEIFS('Dados completos'!$AF$4:$AF$227,'Dados completos'!$F$4:$F$227,B44,'Dados completos'!$AQ$4:$AQ$227,1),"")</f>
        <v>61.25</v>
      </c>
    </row>
    <row r="45" customFormat="false" ht="15" hidden="false" customHeight="true" outlineLevel="0" collapsed="false">
      <c r="A45" s="17"/>
      <c r="B45" s="16" t="s">
        <v>99</v>
      </c>
      <c r="C45" s="16"/>
      <c r="D45" s="19" t="n">
        <f aca="false">COUNTIFS('Dados completos'!$F$4:$F$227,B45,'Dados completos'!$AQ$4:$AQ$227,1)</f>
        <v>1</v>
      </c>
      <c r="E45" s="18" t="n">
        <f aca="false">IFERROR(AVERAGEIFS('Dados completos'!$AR$4:$AR$227,'Dados completos'!$F$4:$F$227,B45,'Dados completos'!$AQ$4:$AQ$227,1),"")</f>
        <v>0.01126</v>
      </c>
      <c r="F45" s="18" t="n">
        <f aca="false">_xlfn.MAXIFS('Dados completos'!$AR$4:$AR$227,'Dados completos'!$F$4:$F$227,B45)</f>
        <v>0.01126</v>
      </c>
      <c r="G45" s="19" t="n">
        <f aca="false">IFERROR(AVERAGEIFS('Dados completos'!$AF$4:$AF$227,'Dados completos'!$F$4:$F$227,B45,'Dados completos'!$AQ$4:$AQ$227,1),"")</f>
        <v>60.5</v>
      </c>
    </row>
    <row r="46" customFormat="false" ht="15" hidden="false" customHeight="true" outlineLevel="0" collapsed="false">
      <c r="A46" s="17"/>
      <c r="B46" s="16" t="s">
        <v>100</v>
      </c>
      <c r="C46" s="16"/>
      <c r="D46" s="19" t="n">
        <f aca="false">COUNTIFS('Dados completos'!$F$4:$F$227,B46,'Dados completos'!$AQ$4:$AQ$227,1)</f>
        <v>5</v>
      </c>
      <c r="E46" s="18" t="n">
        <f aca="false">IFERROR(AVERAGEIFS('Dados completos'!$AR$4:$AR$227,'Dados completos'!$F$4:$F$227,B46,'Dados completos'!$AQ$4:$AQ$227,1),"")</f>
        <v>0.0195264</v>
      </c>
      <c r="F46" s="18" t="n">
        <f aca="false">_xlfn.MAXIFS('Dados completos'!$AR$4:$AR$227,'Dados completos'!$F$4:$F$227,B46)</f>
        <v>0.035022</v>
      </c>
      <c r="G46" s="19" t="n">
        <f aca="false">IFERROR(AVERAGEIFS('Dados completos'!$AF$4:$AF$227,'Dados completos'!$F$4:$F$227,B46,'Dados completos'!$AQ$4:$AQ$227,1),"")</f>
        <v>52.64</v>
      </c>
    </row>
    <row r="49" customFormat="false" ht="57.75" hidden="false" customHeight="true" outlineLevel="0" collapsed="false">
      <c r="A49" s="54" t="s">
        <v>1357</v>
      </c>
      <c r="B49" s="54"/>
      <c r="C49" s="54"/>
      <c r="D49" s="54"/>
      <c r="E49" s="54"/>
      <c r="F49" s="54"/>
      <c r="G49" s="54"/>
      <c r="H49" s="54"/>
      <c r="I49" s="54"/>
      <c r="J49" s="54"/>
    </row>
    <row r="50" customFormat="false" ht="24" hidden="false" customHeight="true" outlineLevel="0" collapsed="false">
      <c r="A50" s="55"/>
      <c r="B50" s="55" t="s">
        <v>105</v>
      </c>
      <c r="C50" s="55"/>
      <c r="D50" s="55" t="s">
        <v>1354</v>
      </c>
      <c r="E50" s="55" t="s">
        <v>78</v>
      </c>
      <c r="F50" s="55" t="s">
        <v>1355</v>
      </c>
      <c r="G50" s="55" t="s">
        <v>1356</v>
      </c>
    </row>
    <row r="51" customFormat="false" ht="15" hidden="false" customHeight="true" outlineLevel="0" collapsed="false">
      <c r="A51" s="17"/>
      <c r="B51" s="16" t="s">
        <v>181</v>
      </c>
      <c r="C51" s="16"/>
      <c r="D51" s="19" t="n">
        <f aca="false">COUNTIFS('Dados completos'!$V$4:$V$227,B51,'Dados completos'!$AQ$4:$AQ$227,1)</f>
        <v>102</v>
      </c>
      <c r="E51" s="18" t="n">
        <f aca="false">IFERROR(AVERAGEIFS('Dados completos'!$AR$4:$AR$227,'Dados completos'!$V$4:$V$227,B51,'Dados completos'!$AQ$4:$AQ$227,1),"")</f>
        <v>0.00974911176470588</v>
      </c>
      <c r="F51" s="18" t="n">
        <f aca="false">_xlfn.MAXIFS('Dados completos'!$AR$4:$AR$227,'Dados completos'!$V$4:$V$227,B51)</f>
        <v>0.0133</v>
      </c>
      <c r="G51" s="19" t="n">
        <f aca="false">IFERROR(AVERAGEIFS('Dados completos'!$AF$4:$AF$227,'Dados completos'!$V$4:$V$227,B51,'Dados completos'!$AQ$4:$AQ$227,1),"")</f>
        <v>48.6529411764706</v>
      </c>
    </row>
    <row r="52" customFormat="false" ht="15" hidden="false" customHeight="true" outlineLevel="0" collapsed="false">
      <c r="A52" s="17"/>
      <c r="B52" s="16" t="s">
        <v>199</v>
      </c>
      <c r="C52" s="16"/>
      <c r="D52" s="19" t="n">
        <f aca="false">COUNTIFS('Dados completos'!$V$4:$V$227,B52,'Dados completos'!$AQ$4:$AQ$227,1)</f>
        <v>53</v>
      </c>
      <c r="E52" s="18" t="n">
        <f aca="false">IFERROR(AVERAGEIFS('Dados completos'!$AR$4:$AR$227,'Dados completos'!$V$4:$V$227,B52,'Dados completos'!$AQ$4:$AQ$227,1),"")</f>
        <v>0.0314250566037736</v>
      </c>
      <c r="F52" s="18" t="n">
        <f aca="false">_xlfn.MAXIFS('Dados completos'!$AR$4:$AR$227,'Dados completos'!$V$4:$V$227,B52)</f>
        <v>0.0453</v>
      </c>
      <c r="G52" s="19" t="n">
        <f aca="false">IFERROR(AVERAGEIFS('Dados completos'!$AF$4:$AF$227,'Dados completos'!$V$4:$V$227,B52,'Dados completos'!$AQ$4:$AQ$227,1),"")</f>
        <v>53.9584905660377</v>
      </c>
    </row>
    <row r="53" customFormat="false" ht="15" hidden="false" customHeight="true" outlineLevel="0" collapsed="false">
      <c r="A53" s="17"/>
      <c r="B53" s="16" t="s">
        <v>318</v>
      </c>
      <c r="C53" s="16"/>
      <c r="D53" s="19" t="n">
        <f aca="false">COUNTIFS('Dados completos'!$V$4:$V$227,B53,'Dados completos'!$AQ$4:$AQ$227,1)</f>
        <v>25</v>
      </c>
      <c r="E53" s="18" t="n">
        <f aca="false">IFERROR(AVERAGEIFS('Dados completos'!$AR$4:$AR$227,'Dados completos'!$V$4:$V$227,B53,'Dados completos'!$AQ$4:$AQ$227,1),"")</f>
        <v>0.11084672</v>
      </c>
      <c r="F53" s="18" t="n">
        <f aca="false">_xlfn.MAXIFS('Dados completos'!$AR$4:$AR$227,'Dados completos'!$V$4:$V$227,B53)</f>
        <v>0.1208</v>
      </c>
      <c r="G53" s="19" t="n">
        <f aca="false">IFERROR(AVERAGEIFS('Dados completos'!$AF$4:$AF$227,'Dados completos'!$V$4:$V$227,B53,'Dados completos'!$AQ$4:$AQ$227,1),"")</f>
        <v>82.132</v>
      </c>
    </row>
    <row r="54" customFormat="false" ht="15" hidden="false" customHeight="true" outlineLevel="0" collapsed="false">
      <c r="A54" s="17"/>
      <c r="B54" s="16" t="s">
        <v>517</v>
      </c>
      <c r="C54" s="16"/>
      <c r="D54" s="19" t="n">
        <f aca="false">COUNTIFS('Dados completos'!$V$4:$V$227,B54,'Dados completos'!$AQ$4:$AQ$227,1)</f>
        <v>20</v>
      </c>
      <c r="E54" s="18" t="n">
        <f aca="false">IFERROR(AVERAGEIFS('Dados completos'!$AR$4:$AR$227,'Dados completos'!$V$4:$V$227,B54,'Dados completos'!$AQ$4:$AQ$227,1),"")</f>
        <v>0.1768188</v>
      </c>
      <c r="F54" s="18" t="n">
        <f aca="false">_xlfn.MAXIFS('Dados completos'!$AR$4:$AR$227,'Dados completos'!$V$4:$V$227,B54)</f>
        <v>0.1812</v>
      </c>
      <c r="G54" s="19" t="n">
        <f aca="false">IFERROR(AVERAGEIFS('Dados completos'!$AF$4:$AF$227,'Dados completos'!$V$4:$V$227,B54,'Dados completos'!$AQ$4:$AQ$227,1),"")</f>
        <v>89.4575</v>
      </c>
    </row>
    <row r="57" customFormat="false" ht="57.75" hidden="false" customHeight="true" outlineLevel="0" collapsed="false">
      <c r="A57" s="54" t="s">
        <v>1358</v>
      </c>
      <c r="B57" s="54"/>
      <c r="C57" s="54"/>
      <c r="D57" s="54"/>
      <c r="E57" s="54"/>
      <c r="F57" s="54"/>
      <c r="G57" s="54"/>
      <c r="H57" s="54"/>
      <c r="I57" s="54"/>
      <c r="J57" s="54"/>
    </row>
    <row r="58" customFormat="false" ht="24" hidden="false" customHeight="true" outlineLevel="0" collapsed="false">
      <c r="A58" s="55"/>
      <c r="B58" s="55" t="s">
        <v>1359</v>
      </c>
      <c r="C58" s="55"/>
      <c r="D58" s="55" t="s">
        <v>1360</v>
      </c>
      <c r="E58" s="55" t="s">
        <v>1361</v>
      </c>
    </row>
    <row r="59" customFormat="false" ht="14.25" hidden="false" customHeight="true" outlineLevel="0" collapsed="false">
      <c r="A59" s="17"/>
      <c r="B59" s="61" t="n">
        <v>1</v>
      </c>
      <c r="C59" s="61"/>
      <c r="D59" s="18" t="n">
        <f aca="false">1-EXP((1-'Perfil e pressupostos'!$F$32)*SUMPRODUCT(('Dados completos'!$AU$4:$AU$227&lt;=B59)*LN(1-'Dados completos'!$AR$4:$AR$227)))</f>
        <v>0.093931569913177</v>
      </c>
      <c r="E59" s="62" t="n">
        <f aca="false">SUMPRODUCT(('Dados completos'!$AU$4:$AU$227&lt;=B59)*'Dados completos'!$AR$4:$AR$227)</f>
        <v>0.17904</v>
      </c>
    </row>
    <row r="60" customFormat="false" ht="14.25" hidden="false" customHeight="true" outlineLevel="0" collapsed="false">
      <c r="A60" s="17"/>
      <c r="B60" s="61" t="n">
        <v>3</v>
      </c>
      <c r="C60" s="61"/>
      <c r="D60" s="18" t="n">
        <f aca="false">1-EXP((1-'Perfil e pressupostos'!$F$32)*SUMPRODUCT(('Dados completos'!$AU$4:$AU$227&lt;=B60)*LN(1-'Dados completos'!$AR$4:$AR$227)))</f>
        <v>0.255176150546056</v>
      </c>
      <c r="E60" s="62" t="n">
        <f aca="false">SUMPRODUCT(('Dados completos'!$AU$4:$AU$227&lt;=B60)*'Dados completos'!$AR$4:$AR$227)</f>
        <v>0.53496</v>
      </c>
    </row>
    <row r="61" customFormat="false" ht="14.25" hidden="false" customHeight="true" outlineLevel="0" collapsed="false">
      <c r="A61" s="17"/>
      <c r="B61" s="61" t="n">
        <v>5</v>
      </c>
      <c r="C61" s="61"/>
      <c r="D61" s="18" t="n">
        <f aca="false">1-EXP((1-'Perfil e pressupostos'!$F$32)*SUMPRODUCT(('Dados completos'!$AU$4:$AU$227&lt;=B61)*LN(1-'Dados completos'!$AR$4:$AR$227)))</f>
        <v>0.365083938221782</v>
      </c>
      <c r="E61" s="62" t="n">
        <f aca="false">SUMPRODUCT(('Dados completos'!$AU$4:$AU$227&lt;=B61)*'Dados completos'!$AR$4:$AR$227)</f>
        <v>0.82904</v>
      </c>
    </row>
    <row r="62" customFormat="false" ht="14.25" hidden="false" customHeight="true" outlineLevel="0" collapsed="false">
      <c r="A62" s="17"/>
      <c r="B62" s="61" t="n">
        <v>10</v>
      </c>
      <c r="C62" s="61"/>
      <c r="D62" s="18" t="n">
        <f aca="false">1-EXP((1-'Perfil e pressupostos'!$F$32)*SUMPRODUCT(('Dados completos'!$AU$4:$AU$227&lt;=B62)*LN(1-'Dados completos'!$AR$4:$AR$227)))</f>
        <v>0.551101462519079</v>
      </c>
      <c r="E62" s="62" t="n">
        <f aca="false">SUMPRODUCT(('Dados completos'!$AU$4:$AU$227&lt;=B62)*'Dados completos'!$AR$4:$AR$227)</f>
        <v>1.474624</v>
      </c>
    </row>
    <row r="63" customFormat="false" ht="14.25" hidden="false" customHeight="true" outlineLevel="0" collapsed="false">
      <c r="A63" s="17"/>
      <c r="B63" s="61" t="n">
        <v>15</v>
      </c>
      <c r="C63" s="61"/>
      <c r="D63" s="18" t="n">
        <f aca="false">1-EXP((1-'Perfil e pressupostos'!$F$32)*SUMPRODUCT(('Dados completos'!$AU$4:$AU$227&lt;=B63)*LN(1-'Dados completos'!$AR$4:$AR$227)))</f>
        <v>0.683362113826107</v>
      </c>
      <c r="E63" s="62" t="n">
        <f aca="false">SUMPRODUCT(('Dados completos'!$AU$4:$AU$227&lt;=B63)*'Dados completos'!$AR$4:$AR$227)</f>
        <v>2.124336</v>
      </c>
    </row>
    <row r="64" customFormat="false" ht="14.25" hidden="false" customHeight="true" outlineLevel="0" collapsed="false">
      <c r="A64" s="17"/>
      <c r="B64" s="61" t="n">
        <v>20</v>
      </c>
      <c r="C64" s="61"/>
      <c r="D64" s="18" t="n">
        <f aca="false">1-EXP((1-'Perfil e pressupostos'!$F$32)*SUMPRODUCT(('Dados completos'!$AU$4:$AU$227&lt;=B64)*LN(1-'Dados completos'!$AR$4:$AR$227)))</f>
        <v>0.793738910231423</v>
      </c>
      <c r="E64" s="62" t="n">
        <f aca="false">SUMPRODUCT(('Dados completos'!$AU$4:$AU$227&lt;=B64)*'Dados completos'!$AR$4:$AR$227)</f>
        <v>2.909536</v>
      </c>
    </row>
    <row r="65" customFormat="false" ht="14.25" hidden="false" customHeight="true" outlineLevel="0" collapsed="false">
      <c r="A65" s="17"/>
      <c r="B65" s="61" t="n">
        <v>30</v>
      </c>
      <c r="C65" s="61"/>
      <c r="D65" s="18" t="n">
        <f aca="false">1-EXP((1-'Perfil e pressupostos'!$F$32)*SUMPRODUCT(('Dados completos'!$AU$4:$AU$227&lt;=B65)*LN(1-'Dados completos'!$AR$4:$AR$227)))</f>
        <v>0.905195066776145</v>
      </c>
      <c r="E65" s="62" t="n">
        <f aca="false">SUMPRODUCT(('Dados completos'!$AU$4:$AU$227&lt;=B65)*'Dados completos'!$AR$4:$AR$227)</f>
        <v>4.342928</v>
      </c>
    </row>
    <row r="66" customFormat="false" ht="14.25" hidden="false" customHeight="true" outlineLevel="0" collapsed="false">
      <c r="A66" s="17"/>
      <c r="B66" s="61" t="n">
        <v>40</v>
      </c>
      <c r="C66" s="61"/>
      <c r="D66" s="18" t="n">
        <f aca="false">1-EXP((1-'Perfil e pressupostos'!$F$32)*SUMPRODUCT(('Dados completos'!$AU$4:$AU$227&lt;=B66)*LN(1-'Dados completos'!$AR$4:$AR$227)))</f>
        <v>0.957013724653566</v>
      </c>
      <c r="E66" s="62" t="n">
        <f aca="false">SUMPRODUCT(('Dados completos'!$AU$4:$AU$227&lt;=B66)*'Dados completos'!$AR$4:$AR$227)</f>
        <v>5.798008</v>
      </c>
    </row>
    <row r="69" customFormat="false" ht="57.75" hidden="false" customHeight="true" outlineLevel="0" collapsed="false">
      <c r="A69" s="54" t="s">
        <v>1362</v>
      </c>
      <c r="B69" s="54"/>
      <c r="C69" s="54"/>
      <c r="D69" s="54"/>
      <c r="E69" s="54"/>
      <c r="F69" s="54"/>
      <c r="G69" s="54"/>
      <c r="H69" s="54"/>
      <c r="I69" s="54"/>
      <c r="J69" s="54"/>
    </row>
    <row r="70" customFormat="false" ht="14.25" hidden="false" customHeight="true" outlineLevel="0" collapsed="false">
      <c r="A70" s="55"/>
      <c r="B70" s="55" t="s">
        <v>1363</v>
      </c>
      <c r="C70" s="55"/>
      <c r="D70" s="55" t="s">
        <v>1364</v>
      </c>
      <c r="E70" s="55" t="s">
        <v>1365</v>
      </c>
      <c r="F70" s="55" t="s">
        <v>1366</v>
      </c>
    </row>
    <row r="71" customFormat="false" ht="14.25" hidden="false" customHeight="true" outlineLevel="0" collapsed="false">
      <c r="A71" s="17"/>
      <c r="B71" s="63" t="n">
        <v>0.5</v>
      </c>
      <c r="C71" s="63"/>
      <c r="D71" s="18" t="n">
        <f aca="false">1-EXP((1-'Perfil e pressupostos'!$F$32)*SUMPRODUCT(('Dados completos'!$AU$4:$AU$227&lt;=10)*LN(1-$B71*'Dados completos'!$AR$4:$AR$227)))</f>
        <v>0.318627335234775</v>
      </c>
      <c r="E71" s="18" t="n">
        <f aca="false">1-EXP((1-'Perfil e pressupostos'!$F$32)*SUMPRODUCT(('Dados completos'!$AU$4:$AU$227&lt;=20)*LN(1-$B71*'Dados completos'!$AR$4:$AR$227)))</f>
        <v>0.530726972861724</v>
      </c>
      <c r="F71" s="18" t="n">
        <f aca="false">1-EXP((1-'Perfil e pressupostos'!$F$32)*SUMPRODUCT(('Dados completos'!$AU$4:$AU$227&lt;=1000)*LN(1-$B71*'Dados completos'!$AR$4:$AR$227)))</f>
        <v>0.900520493657715</v>
      </c>
    </row>
    <row r="72" customFormat="false" ht="14.25" hidden="false" customHeight="true" outlineLevel="0" collapsed="false">
      <c r="A72" s="17"/>
      <c r="B72" s="63" t="n">
        <v>1</v>
      </c>
      <c r="C72" s="63"/>
      <c r="D72" s="18" t="n">
        <f aca="false">1-EXP((1-'Perfil e pressupostos'!$F$32)*SUMPRODUCT(('Dados completos'!$AU$4:$AU$227&lt;=10)*LN(1-$B72*'Dados completos'!$AR$4:$AR$227)))</f>
        <v>0.551101462519079</v>
      </c>
      <c r="E72" s="18" t="n">
        <f aca="false">1-EXP((1-'Perfil e pressupostos'!$F$32)*SUMPRODUCT(('Dados completos'!$AU$4:$AU$227&lt;=20)*LN(1-$B72*'Dados completos'!$AR$4:$AR$227)))</f>
        <v>0.793738910231423</v>
      </c>
      <c r="F72" s="18" t="n">
        <f aca="false">1-EXP((1-'Perfil e pressupostos'!$F$32)*SUMPRODUCT(('Dados completos'!$AU$4:$AU$227&lt;=1000)*LN(1-$B72*'Dados completos'!$AR$4:$AR$227)))</f>
        <v>0.99145590666868</v>
      </c>
    </row>
    <row r="73" customFormat="false" ht="14.25" hidden="false" customHeight="true" outlineLevel="0" collapsed="false">
      <c r="A73" s="17"/>
      <c r="B73" s="63" t="n">
        <v>1.5</v>
      </c>
      <c r="C73" s="63"/>
      <c r="D73" s="18" t="n">
        <f aca="false">1-EXP((1-'Perfil e pressupostos'!$F$32)*SUMPRODUCT(('Dados completos'!$AU$4:$AU$227&lt;=10)*LN(1-$B73*'Dados completos'!$AR$4:$AR$227)))</f>
        <v>0.716001573804151</v>
      </c>
      <c r="E73" s="18" t="n">
        <f aca="false">1-EXP((1-'Perfil e pressupostos'!$F$32)*SUMPRODUCT(('Dados completos'!$AU$4:$AU$227&lt;=20)*LN(1-$B73*'Dados completos'!$AR$4:$AR$227)))</f>
        <v>0.916197600754782</v>
      </c>
      <c r="F73" s="18" t="n">
        <f aca="false">1-EXP((1-'Perfil e pressupostos'!$F$32)*SUMPRODUCT(('Dados completos'!$AU$4:$AU$227&lt;=1000)*LN(1-$B73*'Dados completos'!$AR$4:$AR$227)))</f>
        <v>0.999383809160182</v>
      </c>
    </row>
    <row r="74" customFormat="false" ht="14.25" hidden="false" customHeight="true" outlineLevel="0" collapsed="false">
      <c r="A74" s="17"/>
      <c r="B74" s="63" t="n">
        <v>2</v>
      </c>
      <c r="C74" s="63"/>
      <c r="D74" s="18" t="n">
        <f aca="false">1-EXP((1-'Perfil e pressupostos'!$F$32)*SUMPRODUCT(('Dados completos'!$AU$4:$AU$227&lt;=10)*LN(1-$B74*'Dados completos'!$AR$4:$AR$227)))</f>
        <v>0.829057975873341</v>
      </c>
      <c r="E74" s="18" t="n">
        <f aca="false">1-EXP((1-'Perfil e pressupostos'!$F$32)*SUMPRODUCT(('Dados completos'!$AU$4:$AU$227&lt;=20)*LN(1-$B74*'Dados completos'!$AR$4:$AR$227)))</f>
        <v>0.969083416480694</v>
      </c>
      <c r="F74" s="18" t="n">
        <f aca="false">1-EXP((1-'Perfil e pressupostos'!$F$32)*SUMPRODUCT(('Dados completos'!$AU$4:$AU$227&lt;=1000)*LN(1-$B74*'Dados completos'!$AR$4:$AR$227)))</f>
        <v>0.999964061009976</v>
      </c>
    </row>
    <row r="77" customFormat="false" ht="57.75" hidden="false" customHeight="true" outlineLevel="0" collapsed="false">
      <c r="A77" s="54" t="s">
        <v>1367</v>
      </c>
      <c r="B77" s="54"/>
      <c r="C77" s="54"/>
      <c r="D77" s="54"/>
      <c r="E77" s="54"/>
      <c r="F77" s="54"/>
      <c r="G77" s="54"/>
      <c r="H77" s="54"/>
      <c r="I77" s="54"/>
      <c r="J77" s="54"/>
    </row>
    <row r="78" customFormat="false" ht="14.25" hidden="false" customHeight="true" outlineLevel="0" collapsed="false">
      <c r="A78" s="55"/>
      <c r="B78" s="55" t="s">
        <v>1368</v>
      </c>
      <c r="C78" s="55"/>
      <c r="D78" s="55" t="s">
        <v>1369</v>
      </c>
    </row>
    <row r="79" customFormat="false" ht="15" hidden="false" customHeight="true" outlineLevel="0" collapsed="false">
      <c r="A79" s="17"/>
      <c r="B79" s="16" t="s">
        <v>1370</v>
      </c>
      <c r="C79" s="16"/>
      <c r="D79" s="62" t="n">
        <f aca="false">CORREL('Dados completos'!$AF$4:$AF$227,'Dados completos'!$AH$4:$AH$227)</f>
        <v>0.835026255957373</v>
      </c>
    </row>
    <row r="80" customFormat="false" ht="15" hidden="false" customHeight="true" outlineLevel="0" collapsed="false">
      <c r="A80" s="17"/>
      <c r="B80" s="16" t="s">
        <v>1371</v>
      </c>
      <c r="C80" s="16"/>
      <c r="D80" s="62" t="n">
        <f aca="false">CORREL('Dados completos'!$W$4:$W$227,'Dados completos'!$AH$4:$AH$227)</f>
        <v>-0.661346897422672</v>
      </c>
    </row>
    <row r="81" customFormat="false" ht="15" hidden="false" customHeight="true" outlineLevel="0" collapsed="false">
      <c r="A81" s="17"/>
      <c r="B81" s="16" t="s">
        <v>1372</v>
      </c>
      <c r="C81" s="16"/>
      <c r="D81" s="62" t="n">
        <f aca="false">CORREL('Dados completos'!$W$4:$W$227,'Dados completos'!$AF$4:$AF$227)</f>
        <v>-0.58435625732123</v>
      </c>
    </row>
    <row r="82" customFormat="false" ht="15" hidden="false" customHeight="true" outlineLevel="0" collapsed="false">
      <c r="A82" s="17"/>
      <c r="B82" s="16" t="s">
        <v>1373</v>
      </c>
      <c r="C82" s="16"/>
      <c r="D82" s="62" t="n">
        <f aca="false">CORREL('Dados completos'!$AB$4:$AB$227,'Dados completos'!$AF$4:$AF$227)</f>
        <v>0.841392399856804</v>
      </c>
    </row>
    <row r="83" customFormat="false" ht="15" hidden="false" customHeight="true" outlineLevel="0" collapsed="false">
      <c r="A83" s="17"/>
      <c r="B83" s="16" t="s">
        <v>1374</v>
      </c>
      <c r="C83" s="16"/>
      <c r="D83" s="62" t="n">
        <f aca="false">CORREL('Dados completos'!$AC$4:$AC$227,'Dados completos'!$AF$4:$AF$227)</f>
        <v>0.841401060655907</v>
      </c>
    </row>
    <row r="86" customFormat="false" ht="57.75" hidden="false" customHeight="true" outlineLevel="0" collapsed="false">
      <c r="A86" s="54" t="s">
        <v>1375</v>
      </c>
      <c r="B86" s="54"/>
      <c r="C86" s="54"/>
      <c r="D86" s="54"/>
      <c r="E86" s="54"/>
      <c r="F86" s="54"/>
      <c r="G86" s="54"/>
      <c r="H86" s="54"/>
      <c r="I86" s="54"/>
      <c r="J86" s="54"/>
    </row>
    <row r="87" customFormat="false" ht="14.25" hidden="false" customHeight="true" outlineLevel="0" collapsed="false">
      <c r="A87" s="55"/>
      <c r="B87" s="55" t="s">
        <v>1304</v>
      </c>
      <c r="C87" s="55"/>
      <c r="D87" s="55" t="s">
        <v>1364</v>
      </c>
      <c r="E87" s="55" t="s">
        <v>1376</v>
      </c>
      <c r="F87" s="55" t="s">
        <v>1377</v>
      </c>
      <c r="G87" s="55" t="s">
        <v>1378</v>
      </c>
    </row>
    <row r="88" customFormat="false" ht="15" hidden="false" customHeight="true" outlineLevel="0" collapsed="false">
      <c r="A88" s="17"/>
      <c r="B88" s="16" t="s">
        <v>1306</v>
      </c>
      <c r="C88" s="16"/>
      <c r="D88" s="62" t="n">
        <f aca="false">AVERAGEIFS('Dados completos'!$AB$4:$AB$227,'Dados completos'!$AU$4:$AU$227,"&lt;=10")</f>
        <v>0.9775</v>
      </c>
      <c r="E88" s="62" t="n">
        <f aca="false">AVERAGEIFS('Dados completos'!$AB$4:$AB$227,'Dados completos'!$AU$4:$AU$227,"&gt;10",'Dados completos'!$AQ$4:$AQ$227,1)</f>
        <v>0.663</v>
      </c>
      <c r="F88" s="64" t="n">
        <f aca="false">D88-E88</f>
        <v>0.3145</v>
      </c>
      <c r="G88" s="62" t="n">
        <f aca="false">AVERAGEIFS('Dados completos'!$AB$4:$AB$227,'Dados completos'!$AQ$4:$AQ$227,1)</f>
        <v>0.678725</v>
      </c>
    </row>
    <row r="89" customFormat="false" ht="15" hidden="false" customHeight="true" outlineLevel="0" collapsed="false">
      <c r="A89" s="17"/>
      <c r="B89" s="16" t="s">
        <v>1379</v>
      </c>
      <c r="C89" s="16"/>
      <c r="D89" s="62" t="n">
        <f aca="false">AVERAGEIFS('Dados completos'!$AC$4:$AC$227,'Dados completos'!$AU$4:$AU$227,"&lt;=10")</f>
        <v>0.78</v>
      </c>
      <c r="E89" s="62" t="n">
        <f aca="false">AVERAGEIFS('Dados completos'!$AC$4:$AC$227,'Dados completos'!$AU$4:$AU$227,"&gt;10",'Dados completos'!$AQ$4:$AQ$227,1)</f>
        <v>0.39</v>
      </c>
      <c r="F89" s="64" t="n">
        <f aca="false">D89-E89</f>
        <v>0.39</v>
      </c>
      <c r="G89" s="62" t="n">
        <f aca="false">AVERAGEIFS('Dados completos'!$AC$4:$AC$227,'Dados completos'!$AQ$4:$AQ$227,1)</f>
        <v>0.4095</v>
      </c>
    </row>
    <row r="90" customFormat="false" ht="15" hidden="false" customHeight="true" outlineLevel="0" collapsed="false">
      <c r="A90" s="17"/>
      <c r="B90" s="16" t="s">
        <v>1380</v>
      </c>
      <c r="C90" s="16"/>
      <c r="D90" s="62" t="n">
        <f aca="false">AVERAGEIFS('Dados completos'!$AD$4:$AD$227,'Dados completos'!$AU$4:$AU$227,"&lt;=10")</f>
        <v>0.99</v>
      </c>
      <c r="E90" s="62" t="n">
        <f aca="false">AVERAGEIFS('Dados completos'!$AD$4:$AD$227,'Dados completos'!$AU$4:$AU$227,"&gt;10",'Dados completos'!$AQ$4:$AQ$227,1)</f>
        <v>0.572105263157895</v>
      </c>
      <c r="F90" s="64" t="n">
        <f aca="false">D90-E90</f>
        <v>0.417894736842105</v>
      </c>
      <c r="G90" s="62" t="n">
        <f aca="false">AVERAGEIFS('Dados completos'!$AD$4:$AD$227,'Dados completos'!$AQ$4:$AQ$227,1)</f>
        <v>0.593</v>
      </c>
    </row>
    <row r="91" customFormat="false" ht="15" hidden="false" customHeight="true" outlineLevel="0" collapsed="false">
      <c r="A91" s="17"/>
      <c r="B91" s="16" t="s">
        <v>1381</v>
      </c>
      <c r="C91" s="16"/>
      <c r="D91" s="62" t="n">
        <f aca="false">AVERAGEIFS('Dados completos'!$AE$4:$AE$227,'Dados completos'!$AU$4:$AU$227,"&lt;=10")</f>
        <v>0.79</v>
      </c>
      <c r="E91" s="62" t="n">
        <f aca="false">AVERAGEIFS('Dados completos'!$AE$4:$AE$227,'Dados completos'!$AU$4:$AU$227,"&gt;10",'Dados completos'!$AQ$4:$AQ$227,1)</f>
        <v>0.72</v>
      </c>
      <c r="F91" s="64" t="n">
        <f aca="false">D91-E91</f>
        <v>0.0700000000000002</v>
      </c>
      <c r="G91" s="62" t="n">
        <f aca="false">AVERAGEIFS('Dados completos'!$AE$4:$AE$227,'Dados completos'!$AQ$4:$AQ$227,1)</f>
        <v>0.7235</v>
      </c>
    </row>
    <row r="92" customFormat="false" ht="15" hidden="false" customHeight="true" outlineLevel="0" collapsed="false">
      <c r="A92" s="17"/>
      <c r="B92" s="58" t="s">
        <v>1382</v>
      </c>
      <c r="C92" s="58"/>
      <c r="D92" s="56" t="str">
        <f aca="false">INDEX(B88:B91,MATCH(MIN(G88:G91),G88:G91,0))</f>
        <v>Experiência</v>
      </c>
    </row>
    <row r="95" customFormat="false" ht="57.75" hidden="false" customHeight="true" outlineLevel="0" collapsed="false">
      <c r="A95" s="54" t="s">
        <v>1383</v>
      </c>
      <c r="B95" s="54"/>
      <c r="C95" s="54"/>
      <c r="D95" s="54"/>
      <c r="E95" s="54"/>
      <c r="F95" s="54"/>
      <c r="G95" s="54"/>
      <c r="H95" s="54"/>
      <c r="I95" s="54"/>
      <c r="J95" s="54"/>
    </row>
    <row r="96" customFormat="false" ht="33.75" hidden="false" customHeight="true" outlineLevel="0" collapsed="false">
      <c r="A96" s="20" t="str">
        <f aca="false">"Se te candidatares às 10 melhores vagas, a probabilidade estimada de receberes pelo menos uma oferta é "&amp;TEXT(D62,"0%")&amp;" (cerca de "&amp;TEXT(E62,"0.0")&amp;" ofertas esperadas, já com a correlação entre candidaturas). Com 20 candidaturas sobe para "&amp;TEXT(D64,"0%")&amp;" e com 40 para "&amp;TEXT(D66,"0%")&amp;"."</f>
        <v>Se te candidatares às 10 melhores vagas, a probabilidade estimada de receberes pelo menos uma oferta é 55% (cerca de 1.5 ofertas esperadas, já com a correlação entre candidaturas). Com 20 candidaturas sobe para 79% e com 40 para 96%.</v>
      </c>
      <c r="B96" s="20"/>
      <c r="C96" s="20"/>
      <c r="D96" s="20"/>
      <c r="E96" s="20"/>
      <c r="F96" s="20"/>
      <c r="G96" s="20"/>
      <c r="H96" s="20"/>
      <c r="I96" s="20"/>
      <c r="J96" s="20"/>
    </row>
    <row r="97" customFormat="false" ht="33.75" hidden="false" customHeight="true" outlineLevel="0" collapsed="false">
      <c r="A97" s="20" t="str">
        <f aca="false">"O Top 10 tem um match médio de "&amp;TEXT(D28,"0")&amp;", contra "&amp;TEXT(D29,"0")&amp;" nas restantes, uma diferença de "&amp;TEXT(D30,"0")&amp;" pontos. O fator que mais limita o teu perfil nestas vagas é: "&amp;D92&amp;"."</f>
        <v>O Top 10 tem um match médio de 89, contra 57 nas restantes, uma diferença de 33 pontos. O fator que mais limita o teu perfil nestas vagas é: Experiência.</v>
      </c>
      <c r="B97" s="20"/>
      <c r="C97" s="20"/>
      <c r="D97" s="20"/>
      <c r="E97" s="20"/>
      <c r="F97" s="20"/>
      <c r="G97" s="20"/>
      <c r="H97" s="20"/>
      <c r="I97" s="20"/>
      <c r="J97" s="20"/>
    </row>
    <row r="98" customFormat="false" ht="33.75" hidden="false" customHeight="true" outlineLevel="0" collapsed="false">
      <c r="A98" s="20" t="s">
        <v>1384</v>
      </c>
      <c r="B98" s="20"/>
      <c r="C98" s="20"/>
      <c r="D98" s="20"/>
      <c r="E98" s="20"/>
      <c r="F98" s="20"/>
      <c r="G98" s="20"/>
      <c r="H98" s="20"/>
      <c r="I98" s="20"/>
      <c r="J98" s="20"/>
    </row>
    <row r="99" customFormat="false" ht="33.75" hidden="false" customHeight="true" outlineLevel="0" collapsed="false">
      <c r="A99" s="20" t="s">
        <v>1385</v>
      </c>
      <c r="B99" s="20"/>
      <c r="C99" s="20"/>
      <c r="D99" s="20"/>
      <c r="E99" s="20"/>
      <c r="F99" s="20"/>
      <c r="G99" s="20"/>
      <c r="H99" s="20"/>
      <c r="I99" s="20"/>
      <c r="J99" s="20"/>
    </row>
    <row r="100" customFormat="false" ht="33.75" hidden="false" customHeight="true" outlineLevel="0" collapsed="false">
      <c r="A100" s="20" t="s">
        <v>1386</v>
      </c>
      <c r="B100" s="20"/>
      <c r="C100" s="20"/>
      <c r="D100" s="20"/>
      <c r="E100" s="20"/>
      <c r="F100" s="20"/>
      <c r="G100" s="20"/>
      <c r="H100" s="20"/>
      <c r="I100" s="20"/>
      <c r="J100" s="20"/>
    </row>
    <row r="103" customFormat="false" ht="57.75" hidden="false" customHeight="true" outlineLevel="0" collapsed="false">
      <c r="A103" s="54" t="s">
        <v>1387</v>
      </c>
      <c r="B103" s="54"/>
      <c r="C103" s="54"/>
      <c r="D103" s="54"/>
      <c r="E103" s="54"/>
      <c r="F103" s="54"/>
      <c r="G103" s="54"/>
      <c r="H103" s="54"/>
      <c r="I103" s="54"/>
      <c r="J103" s="54"/>
    </row>
    <row r="104" customFormat="false" ht="24" hidden="false" customHeight="true" outlineLevel="0" collapsed="false">
      <c r="A104" s="55"/>
      <c r="B104" s="55" t="s">
        <v>21</v>
      </c>
      <c r="C104" s="55"/>
      <c r="D104" s="55" t="s">
        <v>1388</v>
      </c>
      <c r="E104" s="55" t="s">
        <v>78</v>
      </c>
      <c r="F104" s="55" t="s">
        <v>1355</v>
      </c>
      <c r="G104" s="55" t="s">
        <v>1356</v>
      </c>
    </row>
    <row r="105" customFormat="false" ht="15" hidden="false" customHeight="true" outlineLevel="0" collapsed="false">
      <c r="A105" s="17"/>
      <c r="B105" s="16" t="s">
        <v>310</v>
      </c>
      <c r="C105" s="16"/>
      <c r="D105" s="19" t="n">
        <f aca="false">COUNTIFS('Dados completos'!$E$4:$E$227,B105,'Dados completos'!$AQ$4:$AQ$227,1)</f>
        <v>47</v>
      </c>
      <c r="E105" s="18" t="n">
        <f aca="false">IFERROR(AVERAGEIFS('Dados completos'!$AR$4:$AR$227,'Dados completos'!$E$4:$E$227,B105,'Dados completos'!$AQ$4:$AQ$227,1),"")</f>
        <v>0.0201599574468085</v>
      </c>
      <c r="F105" s="18" t="n">
        <f aca="false">IF(D105=0,"",_xlfn.MAXIFS('Dados completos'!$AR$4:$AR$227,'Dados completos'!$E$4:$E$227,B105))</f>
        <v>0.11648</v>
      </c>
      <c r="G105" s="19" t="n">
        <f aca="false">IFERROR(AVERAGEIFS('Dados completos'!$AF$4:$AF$227,'Dados completos'!$E$4:$E$227,B105,'Dados completos'!$AQ$4:$AQ$227,1),"")</f>
        <v>54.2904255319149</v>
      </c>
    </row>
    <row r="106" customFormat="false" ht="15" hidden="false" customHeight="true" outlineLevel="0" collapsed="false">
      <c r="A106" s="17"/>
      <c r="B106" s="16" t="s">
        <v>170</v>
      </c>
      <c r="C106" s="16"/>
      <c r="D106" s="19" t="n">
        <f aca="false">COUNTIFS('Dados completos'!$E$4:$E$227,B106,'Dados completos'!$AQ$4:$AQ$227,1)</f>
        <v>44</v>
      </c>
      <c r="E106" s="18" t="n">
        <f aca="false">IFERROR(AVERAGEIFS('Dados completos'!$AR$4:$AR$227,'Dados completos'!$E$4:$E$227,B106,'Dados completos'!$AQ$4:$AQ$227,1),"")</f>
        <v>0.0211225909090909</v>
      </c>
      <c r="F106" s="18" t="n">
        <f aca="false">IF(D106=0,"",_xlfn.MAXIFS('Dados completos'!$AR$4:$AR$227,'Dados completos'!$E$4:$E$227,B106))</f>
        <v>0.0812</v>
      </c>
      <c r="G106" s="19" t="n">
        <f aca="false">IFERROR(AVERAGEIFS('Dados completos'!$AF$4:$AF$227,'Dados completos'!$E$4:$E$227,B106,'Dados completos'!$AQ$4:$AQ$227,1),"")</f>
        <v>44.3818181818182</v>
      </c>
    </row>
    <row r="107" customFormat="false" ht="15" hidden="false" customHeight="true" outlineLevel="0" collapsed="false">
      <c r="A107" s="17"/>
      <c r="B107" s="16" t="s">
        <v>230</v>
      </c>
      <c r="C107" s="16"/>
      <c r="D107" s="19" t="n">
        <f aca="false">COUNTIFS('Dados completos'!$E$4:$E$227,B107,'Dados completos'!$AQ$4:$AQ$227,1)</f>
        <v>60</v>
      </c>
      <c r="E107" s="18" t="n">
        <f aca="false">IFERROR(AVERAGEIFS('Dados completos'!$AR$4:$AR$227,'Dados completos'!$E$4:$E$227,B107,'Dados completos'!$AQ$4:$AQ$227,1),"")</f>
        <v>0.0174103</v>
      </c>
      <c r="F107" s="18" t="n">
        <f aca="false">IF(D107=0,"",_xlfn.MAXIFS('Dados completos'!$AR$4:$AR$227,'Dados completos'!$E$4:$E$227,B107))</f>
        <v>0.03756</v>
      </c>
      <c r="G107" s="19" t="n">
        <f aca="false">IFERROR(AVERAGEIFS('Dados completos'!$AF$4:$AF$227,'Dados completos'!$E$4:$E$227,B107,'Dados completos'!$AQ$4:$AQ$227,1),"")</f>
        <v>50.3858333333333</v>
      </c>
    </row>
    <row r="108" customFormat="false" ht="15" hidden="false" customHeight="true" outlineLevel="0" collapsed="false">
      <c r="A108" s="17"/>
      <c r="B108" s="16" t="s">
        <v>283</v>
      </c>
      <c r="C108" s="16"/>
      <c r="D108" s="19" t="n">
        <f aca="false">COUNTIFS('Dados completos'!$E$4:$E$227,B108,'Dados completos'!$AQ$4:$AQ$227,1)</f>
        <v>1</v>
      </c>
      <c r="E108" s="18" t="n">
        <f aca="false">IFERROR(AVERAGEIFS('Dados completos'!$AR$4:$AR$227,'Dados completos'!$E$4:$E$227,B108,'Dados completos'!$AQ$4:$AQ$227,1),"")</f>
        <v>0.0010114</v>
      </c>
      <c r="F108" s="18" t="n">
        <f aca="false">IF(D108=0,"",_xlfn.MAXIFS('Dados completos'!$AR$4:$AR$227,'Dados completos'!$E$4:$E$227,B108))</f>
        <v>0.0010114</v>
      </c>
      <c r="G108" s="19" t="n">
        <f aca="false">IFERROR(AVERAGEIFS('Dados completos'!$AF$4:$AF$227,'Dados completos'!$E$4:$E$227,B108,'Dados completos'!$AQ$4:$AQ$227,1),"")</f>
        <v>50.95</v>
      </c>
    </row>
    <row r="109" customFormat="false" ht="15" hidden="false" customHeight="true" outlineLevel="0" collapsed="false">
      <c r="A109" s="17"/>
      <c r="B109" s="16" t="s">
        <v>509</v>
      </c>
      <c r="C109" s="16"/>
      <c r="D109" s="19" t="n">
        <f aca="false">COUNTIFS('Dados completos'!$E$4:$E$227,B109,'Dados completos'!$AQ$4:$AQ$227,1)</f>
        <v>9</v>
      </c>
      <c r="E109" s="18" t="n">
        <f aca="false">IFERROR(AVERAGEIFS('Dados completos'!$AR$4:$AR$227,'Dados completos'!$E$4:$E$227,B109,'Dados completos'!$AQ$4:$AQ$227,1),"")</f>
        <v>0.149117777777778</v>
      </c>
      <c r="F109" s="18" t="n">
        <f aca="false">IF(D109=0,"",_xlfn.MAXIFS('Dados completos'!$AR$4:$AR$227,'Dados completos'!$E$4:$E$227,B109))</f>
        <v>0.1812</v>
      </c>
      <c r="G109" s="19" t="n">
        <f aca="false">IFERROR(AVERAGEIFS('Dados completos'!$AF$4:$AF$227,'Dados completos'!$E$4:$E$227,B109,'Dados completos'!$AQ$4:$AQ$227,1),"")</f>
        <v>87.3611111111111</v>
      </c>
    </row>
    <row r="110" customFormat="false" ht="15" hidden="false" customHeight="true" outlineLevel="0" collapsed="false">
      <c r="A110" s="17"/>
      <c r="B110" s="16" t="s">
        <v>325</v>
      </c>
      <c r="C110" s="16"/>
      <c r="D110" s="19" t="n">
        <f aca="false">COUNTIFS('Dados completos'!$E$4:$E$227,B110,'Dados completos'!$AQ$4:$AQ$227,1)</f>
        <v>11</v>
      </c>
      <c r="E110" s="18" t="n">
        <f aca="false">IFERROR(AVERAGEIFS('Dados completos'!$AR$4:$AR$227,'Dados completos'!$E$4:$E$227,B110,'Dados completos'!$AQ$4:$AQ$227,1),"")</f>
        <v>0.117382181818182</v>
      </c>
      <c r="F110" s="18" t="n">
        <f aca="false">IF(D110=0,"",_xlfn.MAXIFS('Dados completos'!$AR$4:$AR$227,'Dados completos'!$E$4:$E$227,B110))</f>
        <v>0.1812</v>
      </c>
      <c r="G110" s="19" t="n">
        <f aca="false">IFERROR(AVERAGEIFS('Dados completos'!$AF$4:$AF$227,'Dados completos'!$E$4:$E$227,B110,'Dados completos'!$AQ$4:$AQ$227,1),"")</f>
        <v>83.9681818181818</v>
      </c>
    </row>
    <row r="111" customFormat="false" ht="15" hidden="false" customHeight="true" outlineLevel="0" collapsed="false">
      <c r="A111" s="17"/>
      <c r="B111" s="16" t="s">
        <v>942</v>
      </c>
      <c r="C111" s="16"/>
      <c r="D111" s="19" t="n">
        <f aca="false">COUNTIFS('Dados completos'!$E$4:$E$227,B111,'Dados completos'!$AQ$4:$AQ$227,1)</f>
        <v>10</v>
      </c>
      <c r="E111" s="18" t="n">
        <f aca="false">IFERROR(AVERAGEIFS('Dados completos'!$AR$4:$AR$227,'Dados completos'!$E$4:$E$227,B111,'Dados completos'!$AQ$4:$AQ$227,1),"")</f>
        <v>0.1207512</v>
      </c>
      <c r="F111" s="18" t="n">
        <f aca="false">IF(D111=0,"",_xlfn.MAXIFS('Dados completos'!$AR$4:$AR$227,'Dados completos'!$E$4:$E$227,B111))</f>
        <v>0.1812</v>
      </c>
      <c r="G111" s="19" t="n">
        <f aca="false">IFERROR(AVERAGEIFS('Dados completos'!$AF$4:$AF$227,'Dados completos'!$E$4:$E$227,B111,'Dados completos'!$AQ$4:$AQ$227,1),"")</f>
        <v>90.03</v>
      </c>
    </row>
    <row r="112" customFormat="false" ht="15" hidden="false" customHeight="true" outlineLevel="0" collapsed="false">
      <c r="A112" s="17"/>
      <c r="B112" s="16" t="s">
        <v>1112</v>
      </c>
      <c r="C112" s="16"/>
      <c r="D112" s="19" t="n">
        <f aca="false">COUNTIFS('Dados completos'!$E$4:$E$227,B112,'Dados completos'!$AQ$4:$AQ$227,1)</f>
        <v>13</v>
      </c>
      <c r="E112" s="18" t="n">
        <f aca="false">IFERROR(AVERAGEIFS('Dados completos'!$AR$4:$AR$227,'Dados completos'!$E$4:$E$227,B112,'Dados completos'!$AQ$4:$AQ$227,1),"")</f>
        <v>0.133402461538462</v>
      </c>
      <c r="F112" s="18" t="n">
        <f aca="false">IF(D112=0,"",_xlfn.MAXIFS('Dados completos'!$AR$4:$AR$227,'Dados completos'!$E$4:$E$227,B112))</f>
        <v>0.179472</v>
      </c>
      <c r="G112" s="19" t="n">
        <f aca="false">IFERROR(AVERAGEIFS('Dados completos'!$AF$4:$AF$227,'Dados completos'!$E$4:$E$227,B112,'Dados completos'!$AQ$4:$AQ$227,1),"")</f>
        <v>83.0615384615385</v>
      </c>
    </row>
    <row r="113" customFormat="false" ht="15" hidden="false" customHeight="true" outlineLevel="0" collapsed="false">
      <c r="A113" s="17"/>
      <c r="B113" s="16" t="s">
        <v>1180</v>
      </c>
      <c r="C113" s="16"/>
      <c r="D113" s="19" t="n">
        <f aca="false">COUNTIFS('Dados completos'!$E$4:$E$227,B113,'Dados completos'!$AQ$4:$AQ$227,1)</f>
        <v>0</v>
      </c>
      <c r="E113" s="18" t="str">
        <f aca="false">IFERROR(AVERAGEIFS('Dados completos'!$AR$4:$AR$227,'Dados completos'!$E$4:$E$227,B113,'Dados completos'!$AQ$4:$AQ$227,1),"")</f>
        <v/>
      </c>
      <c r="F113" s="18" t="str">
        <f aca="false">IF(D113=0,"",_xlfn.MAXIFS('Dados completos'!$AR$4:$AR$227,'Dados completos'!$E$4:$E$227,B113))</f>
        <v/>
      </c>
      <c r="G113" s="19" t="str">
        <f aca="false">IFERROR(AVERAGEIFS('Dados completos'!$AF$4:$AF$227,'Dados completos'!$E$4:$E$227,B113,'Dados completos'!$AQ$4:$AQ$227,1),"")</f>
        <v/>
      </c>
    </row>
    <row r="114" customFormat="false" ht="15" hidden="false" customHeight="true" outlineLevel="0" collapsed="false">
      <c r="A114" s="17"/>
      <c r="B114" s="16" t="s">
        <v>1266</v>
      </c>
      <c r="C114" s="16"/>
      <c r="D114" s="19" t="n">
        <f aca="false">COUNTIFS('Dados completos'!$E$4:$E$227,B114,'Dados completos'!$AQ$4:$AQ$227,1)</f>
        <v>2</v>
      </c>
      <c r="E114" s="18" t="n">
        <f aca="false">IFERROR(AVERAGEIFS('Dados completos'!$AR$4:$AR$227,'Dados completos'!$E$4:$E$227,B114,'Dados completos'!$AQ$4:$AQ$227,1),"")</f>
        <v>0.107886</v>
      </c>
      <c r="F114" s="18" t="n">
        <f aca="false">IF(D114=0,"",_xlfn.MAXIFS('Dados completos'!$AR$4:$AR$227,'Dados completos'!$E$4:$E$227,B114))</f>
        <v>0.179472</v>
      </c>
      <c r="G114" s="19" t="n">
        <f aca="false">IFERROR(AVERAGEIFS('Dados completos'!$AF$4:$AF$227,'Dados completos'!$E$4:$E$227,B114,'Dados completos'!$AQ$4:$AQ$227,1),"")</f>
        <v>79.4</v>
      </c>
    </row>
    <row r="115" customFormat="false" ht="15" hidden="false" customHeight="true" outlineLevel="0" collapsed="false">
      <c r="A115" s="17"/>
      <c r="B115" s="16" t="s">
        <v>418</v>
      </c>
      <c r="C115" s="16"/>
      <c r="D115" s="19" t="n">
        <f aca="false">COUNTIFS('Dados completos'!$E$4:$E$227,B115,'Dados completos'!$AQ$4:$AQ$227,1)</f>
        <v>2</v>
      </c>
      <c r="E115" s="18" t="n">
        <f aca="false">IFERROR(AVERAGEIFS('Dados completos'!$AR$4:$AR$227,'Dados completos'!$E$4:$E$227,B115,'Dados completos'!$AQ$4:$AQ$227,1),"")</f>
        <v>0.03864</v>
      </c>
      <c r="F115" s="18" t="n">
        <f aca="false">IF(D115=0,"",_xlfn.MAXIFS('Dados completos'!$AR$4:$AR$227,'Dados completos'!$E$4:$E$227,B115))</f>
        <v>0.0417</v>
      </c>
      <c r="G115" s="19" t="n">
        <f aca="false">IFERROR(AVERAGEIFS('Dados completos'!$AF$4:$AF$227,'Dados completos'!$E$4:$E$227,B115,'Dados completos'!$AQ$4:$AQ$227,1),"")</f>
        <v>74</v>
      </c>
    </row>
    <row r="116" customFormat="false" ht="15" hidden="false" customHeight="true" outlineLevel="0" collapsed="false">
      <c r="A116" s="17"/>
      <c r="B116" s="16" t="s">
        <v>530</v>
      </c>
      <c r="C116" s="16"/>
      <c r="D116" s="19" t="n">
        <f aca="false">COUNTIFS('Dados completos'!$E$4:$E$227,B116,'Dados completos'!$AQ$4:$AQ$227,1)</f>
        <v>1</v>
      </c>
      <c r="E116" s="18" t="n">
        <f aca="false">IFERROR(AVERAGEIFS('Dados completos'!$AR$4:$AR$227,'Dados completos'!$E$4:$E$227,B116,'Dados completos'!$AQ$4:$AQ$227,1),"")</f>
        <v>0.17688</v>
      </c>
      <c r="F116" s="18" t="n">
        <f aca="false">IF(D116=0,"",_xlfn.MAXIFS('Dados completos'!$AR$4:$AR$227,'Dados completos'!$E$4:$E$227,B116))</f>
        <v>0.17688</v>
      </c>
      <c r="G116" s="19" t="n">
        <f aca="false">IFERROR(AVERAGEIFS('Dados completos'!$AF$4:$AF$227,'Dados completos'!$E$4:$E$227,B116,'Dados completos'!$AQ$4:$AQ$227,1),"")</f>
        <v>89.5</v>
      </c>
    </row>
  </sheetData>
  <mergeCells count="78">
    <mergeCell ref="A4:J4"/>
    <mergeCell ref="L4:T5"/>
    <mergeCell ref="A18:J18"/>
    <mergeCell ref="B20:C20"/>
    <mergeCell ref="B21:C21"/>
    <mergeCell ref="B22:C22"/>
    <mergeCell ref="L22:T23"/>
    <mergeCell ref="B23:C23"/>
    <mergeCell ref="B24:C24"/>
    <mergeCell ref="B25:C25"/>
    <mergeCell ref="B26:C26"/>
    <mergeCell ref="B27:C27"/>
    <mergeCell ref="B28:C28"/>
    <mergeCell ref="B29:C29"/>
    <mergeCell ref="B30:C30"/>
    <mergeCell ref="A33:J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9:J49"/>
    <mergeCell ref="B51:C51"/>
    <mergeCell ref="B52:C52"/>
    <mergeCell ref="B53:C53"/>
    <mergeCell ref="B54:C54"/>
    <mergeCell ref="A57:J57"/>
    <mergeCell ref="B59:C59"/>
    <mergeCell ref="B60:C60"/>
    <mergeCell ref="B61:C61"/>
    <mergeCell ref="B62:C62"/>
    <mergeCell ref="B63:C63"/>
    <mergeCell ref="B64:C64"/>
    <mergeCell ref="B65:C65"/>
    <mergeCell ref="B66:C66"/>
    <mergeCell ref="A69:J69"/>
    <mergeCell ref="B71:C71"/>
    <mergeCell ref="B72:C72"/>
    <mergeCell ref="B73:C73"/>
    <mergeCell ref="B74:C74"/>
    <mergeCell ref="A77:J77"/>
    <mergeCell ref="B79:C79"/>
    <mergeCell ref="B80:C80"/>
    <mergeCell ref="B81:C81"/>
    <mergeCell ref="B82:C82"/>
    <mergeCell ref="B83:C83"/>
    <mergeCell ref="A86:J86"/>
    <mergeCell ref="B88:C88"/>
    <mergeCell ref="B89:C89"/>
    <mergeCell ref="B90:C90"/>
    <mergeCell ref="B91:C91"/>
    <mergeCell ref="B92:C92"/>
    <mergeCell ref="A95:J95"/>
    <mergeCell ref="A96:J96"/>
    <mergeCell ref="A97:J97"/>
    <mergeCell ref="A98:J98"/>
    <mergeCell ref="A99:J99"/>
    <mergeCell ref="A100:J100"/>
    <mergeCell ref="A103:J103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</mergeCells>
  <conditionalFormatting sqref="H6:H15">
    <cfRule type="cellIs" priority="2" operator="equal" aboveAverage="0" equalAverage="0" bottom="0" percent="0" rank="0" text="" dxfId="0">
      <formula>"Boa"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I6:I15">
    <cfRule type="cellIs" priority="5" operator="equal" aboveAverage="0" equalAverage="0" bottom="0" percent="0" rank="0" text="" dxfId="2">
      <formula>"Muito alta"</formula>
    </cfRule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4">
      <formula>"Média-alta"</formula>
    </cfRule>
    <cfRule type="cellIs" priority="8" operator="equal" aboveAverage="0" equalAverage="0" bottom="0" percent="0" rank="0" text="" dxfId="5">
      <formula>"Média"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2026-10-17T12:02:38Z</dcterms:created>
  <dc:creator>openpyxl</dc:creator>
  <dc:description/>
  <dc:language>en-US</dc:language>
  <cp:lastModifiedBy/>
  <dcterms:modified xsi:type="dcterms:W3CDTF">2026-10-17T13:59:04Z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